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0ea22cc3b98a8f61/Documents/"/>
    </mc:Choice>
  </mc:AlternateContent>
  <xr:revisionPtr revIDLastSave="51" documentId="8_{622383C7-8DF1-4113-B351-BE0DC2D0EF10}" xr6:coauthVersionLast="47" xr6:coauthVersionMax="47" xr10:uidLastSave="{AA728788-0CAB-4087-A332-6D494F4ACCA7}"/>
  <bookViews>
    <workbookView xWindow="-110" yWindow="-110" windowWidth="19420" windowHeight="10300" tabRatio="500" firstSheet="2" activeTab="3"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Please enter the dates in either of these formats: 
9/15/2016  or
15-Sep-2016</t>
        </r>
      </text>
    </comment>
    <comment ref="E2" authorId="0" shapeId="0" xr:uid="{00000000-0006-0000-0100-000002000000}">
      <text>
        <r>
          <rPr>
            <sz val="10"/>
            <rFont val="Arial"/>
            <family val="2"/>
          </rPr>
          <t xml:space="preserve">Please enter the dates in either of these formats: 
9/15/2016  or
15-Sep-2016
</t>
        </r>
      </text>
    </comment>
    <comment ref="I3" authorId="0" shapeId="0" xr:uid="{00000000-0006-0000-0100-000003000000}">
      <text>
        <r>
          <rPr>
            <sz val="10"/>
            <rFont val="Arial"/>
            <family val="2"/>
          </rPr>
          <t xml:space="preserve">This is the total task estimated in hours for all the user stories </t>
        </r>
      </text>
    </comment>
    <comment ref="J3" authorId="0" shapeId="0" xr:uid="{00000000-0006-0000-0100-000004000000}">
      <text>
        <r>
          <rPr>
            <sz val="10"/>
            <rFont val="Arial"/>
            <family val="2"/>
          </rPr>
          <t xml:space="preserve">Pending effort hours after completion of day 1 work
</t>
        </r>
      </text>
    </comment>
    <comment ref="K3" authorId="0" shapeId="0" xr:uid="{00000000-0006-0000-0100-000005000000}">
      <text>
        <r>
          <rPr>
            <sz val="10"/>
            <rFont val="Arial"/>
            <family val="2"/>
          </rPr>
          <t>Pending effort hours after completion of day 2 work</t>
        </r>
      </text>
    </comment>
    <comment ref="L3" authorId="0" shapeId="0" xr:uid="{00000000-0006-0000-0100-000006000000}">
      <text>
        <r>
          <rPr>
            <sz val="10"/>
            <rFont val="Arial"/>
            <family val="2"/>
          </rPr>
          <t>Pending effort hours after completion of day 3 work</t>
        </r>
      </text>
    </comment>
    <comment ref="M3" authorId="0" shapeId="0" xr:uid="{00000000-0006-0000-0100-000007000000}">
      <text>
        <r>
          <rPr>
            <sz val="10"/>
            <rFont val="Arial"/>
            <family val="2"/>
          </rPr>
          <t xml:space="preserve">Pending effort hours after completion of day 4 work
</t>
        </r>
      </text>
    </comment>
    <comment ref="N3" authorId="0" shapeId="0" xr:uid="{00000000-0006-0000-0100-000008000000}">
      <text>
        <r>
          <rPr>
            <sz val="10"/>
            <rFont val="Arial"/>
            <family val="2"/>
          </rPr>
          <t xml:space="preserve">Pending effort hours after completion of day 5 work
</t>
        </r>
      </text>
    </comment>
    <comment ref="O3" authorId="0" shapeId="0" xr:uid="{00000000-0006-0000-0100-000009000000}">
      <text>
        <r>
          <rPr>
            <sz val="10"/>
            <rFont val="Arial"/>
            <family val="2"/>
          </rPr>
          <t xml:space="preserve">Pending effort hours after completion of day 6 work
</t>
        </r>
      </text>
    </comment>
    <comment ref="P3" authorId="0" shapeId="0" xr:uid="{00000000-0006-0000-0100-00000A000000}">
      <text>
        <r>
          <rPr>
            <sz val="10"/>
            <rFont val="Arial"/>
            <family val="2"/>
          </rPr>
          <t>Pending effort hours after completion of day 7 work</t>
        </r>
      </text>
    </comment>
    <comment ref="Q3" authorId="0" shapeId="0" xr:uid="{00000000-0006-0000-0100-00000B000000}">
      <text>
        <r>
          <rPr>
            <sz val="10"/>
            <rFont val="Arial"/>
            <family val="2"/>
          </rPr>
          <t xml:space="preserve">Pending effort hours after completion of day 8 work
</t>
        </r>
      </text>
    </comment>
    <comment ref="R3" authorId="0" shapeId="0" xr:uid="{00000000-0006-0000-0100-00000C000000}">
      <text>
        <r>
          <rPr>
            <sz val="10"/>
            <rFont val="Arial"/>
            <family val="2"/>
          </rPr>
          <t xml:space="preserve">Pending effort hours after completion of day 9 work
</t>
        </r>
      </text>
    </comment>
    <comment ref="S3" authorId="0" shapeId="0" xr:uid="{00000000-0006-0000-0100-00000D000000}">
      <text>
        <r>
          <rPr>
            <sz val="10"/>
            <rFont val="Arial"/>
            <family val="2"/>
          </rPr>
          <t xml:space="preserve">Pending effort hours after completion of day 10 work
</t>
        </r>
      </text>
    </comment>
    <comment ref="T3" authorId="0" shapeId="0" xr:uid="{00000000-0006-0000-0100-00000E000000}">
      <text>
        <r>
          <rPr>
            <sz val="10"/>
            <rFont val="Arial"/>
            <family val="2"/>
          </rPr>
          <t xml:space="preserve">Pending effort hours after completion of day 11 work
</t>
        </r>
      </text>
    </comment>
    <comment ref="U3" authorId="0" shapeId="0" xr:uid="{00000000-0006-0000-0100-00000F000000}">
      <text>
        <r>
          <rPr>
            <sz val="10"/>
            <rFont val="Arial"/>
            <family val="2"/>
          </rPr>
          <t xml:space="preserve">Pending effort hours after completion of day 12 work
</t>
        </r>
      </text>
    </comment>
    <comment ref="V3" authorId="0" shapeId="0" xr:uid="{00000000-0006-0000-0100-000010000000}">
      <text>
        <r>
          <rPr>
            <sz val="10"/>
            <rFont val="Arial"/>
            <family val="2"/>
          </rPr>
          <t xml:space="preserve">Pending effort hours after completion of day 13 work
</t>
        </r>
      </text>
    </comment>
    <comment ref="W3" authorId="0" shapeId="0" xr:uid="{00000000-0006-0000-0100-000011000000}">
      <text>
        <r>
          <rPr>
            <sz val="10"/>
            <rFont val="Arial"/>
            <family val="2"/>
          </rPr>
          <t xml:space="preserve">Pending effort hours after completion of day 14 work
</t>
        </r>
      </text>
    </comment>
  </commentList>
</comments>
</file>

<file path=xl/sharedStrings.xml><?xml version="1.0" encoding="utf-8"?>
<sst xmlns="http://schemas.openxmlformats.org/spreadsheetml/2006/main" count="490" uniqueCount="240">
  <si>
    <t>Planned Sprint</t>
  </si>
  <si>
    <t>Actual Sprint</t>
  </si>
  <si>
    <t>US ID</t>
  </si>
  <si>
    <t>User Story Description</t>
  </si>
  <si>
    <t>MOSCOW</t>
  </si>
  <si>
    <t>Dependency</t>
  </si>
  <si>
    <t>Assignee</t>
  </si>
  <si>
    <t>Status</t>
  </si>
  <si>
    <t>US001</t>
  </si>
  <si>
    <t>As a developer, I want to paste an error/stack trace so it is saved as a bug record.</t>
  </si>
  <si>
    <t>Must Have</t>
  </si>
  <si>
    <t>-</t>
  </si>
  <si>
    <t>US002</t>
  </si>
  <si>
    <t>As a developer, I want to upload a log/text file as a bug report.</t>
  </si>
  <si>
    <t>US003</t>
  </si>
  <si>
    <t>As a developer, I want submissions validated (file type, size, empty content) before saving.</t>
  </si>
  <si>
    <t>US004</t>
  </si>
  <si>
    <t>US005</t>
  </si>
  <si>
    <t>As a developer, I want to see a live preview of the detected error type while typing/uploading.</t>
  </si>
  <si>
    <t>US006</t>
  </si>
  <si>
    <t>As a developer, I want to view a history list of all my past bug submissions.</t>
  </si>
  <si>
    <t>US007</t>
  </si>
  <si>
    <t>As a developer, I want to open a submission and see its full stored content and metadata.</t>
  </si>
  <si>
    <t>US008</t>
  </si>
  <si>
    <t>As a developer, I want to delete a bug submission I no longer need.</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</si>
  <si>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</si>
  <si>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</si>
  <si>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</si>
  <si>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</si>
  <si>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</si>
  <si>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</si>
  <si>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</si>
  <si>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</si>
  <si>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</si>
  <si>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</si>
  <si>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</si>
  <si>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</si>
  <si>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</si>
  <si>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</si>
  <si>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</si>
  <si>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</si>
  <si>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</si>
  <si>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</si>
  <si>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</si>
  <si>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</si>
  <si>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</si>
  <si>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</si>
  <si>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</si>
  <si>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</si>
  <si>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06-Jul-2026</t>
  </si>
  <si>
    <t>T02</t>
  </si>
  <si>
    <t>Configure backend framework and dependencies</t>
  </si>
  <si>
    <t>07-Jul-2026</t>
  </si>
  <si>
    <t>T03</t>
  </si>
  <si>
    <t>Design Bug Submission page UI</t>
  </si>
  <si>
    <t>T04</t>
  </si>
  <si>
    <t>Develop bug report upload API</t>
  </si>
  <si>
    <t>08-Jul-2026</t>
  </si>
  <si>
    <t>T05</t>
  </si>
  <si>
    <t>Implement file validation (extension, size, empty-content checks)</t>
  </si>
  <si>
    <t>T06</t>
  </si>
  <si>
    <t>Design database schema for bug reports</t>
  </si>
  <si>
    <t>09-Jul-2026</t>
  </si>
  <si>
    <t>T07</t>
  </si>
  <si>
    <t>Store uploaded bug reports in database</t>
  </si>
  <si>
    <t>Implement upload success/error messages</t>
  </si>
  <si>
    <t>10-Jul-2026</t>
  </si>
  <si>
    <t xml:space="preserve"> </t>
  </si>
  <si>
    <t xml:space="preserve">Sprint </t>
  </si>
  <si>
    <t>Day</t>
  </si>
  <si>
    <t>Impediments</t>
  </si>
  <si>
    <t>Action Taken</t>
  </si>
  <si>
    <t>None</t>
  </si>
  <si>
    <t>Proceeded as planned with schema design.</t>
  </si>
  <si>
    <t>Documented full validation rule set before coding.</t>
  </si>
  <si>
    <t>Frontend preview regex missed some Java stack trace formats.</t>
  </si>
  <si>
    <t>Refined regex patterns and retested with sample logs.</t>
  </si>
  <si>
    <t>Completed testing and closed all logged defects.</t>
  </si>
  <si>
    <t>SL #</t>
  </si>
  <si>
    <t>Sprint #</t>
  </si>
  <si>
    <t>Sprint start date</t>
  </si>
  <si>
    <t>Sprint end date</t>
  </si>
  <si>
    <t xml:space="preserve">Team member name </t>
  </si>
  <si>
    <t>Start Doing</t>
  </si>
  <si>
    <t xml:space="preserve">Stop Doing </t>
  </si>
  <si>
    <t xml:space="preserve">Continue Doing </t>
  </si>
  <si>
    <t>Action taken</t>
  </si>
  <si>
    <t>As a developer, I want each bug to get a unique, human-readable .</t>
  </si>
  <si>
    <t>Done</t>
  </si>
  <si>
    <t>Amrutha</t>
  </si>
  <si>
    <t>Must</t>
  </si>
  <si>
    <t xml:space="preserve">Must </t>
  </si>
  <si>
    <t xml:space="preserve">Should </t>
  </si>
  <si>
    <t xml:space="preserve">Could </t>
  </si>
  <si>
    <t>Development</t>
  </si>
  <si>
    <t>UI Design</t>
  </si>
  <si>
    <t>Backend Development</t>
  </si>
  <si>
    <t>Database Design</t>
  </si>
  <si>
    <t>Frontend Development</t>
  </si>
  <si>
    <t>Unsure which fields to index for fast bug lookup.</t>
  </si>
  <si>
    <t>Added unique index on bug and id columns.</t>
  </si>
  <si>
    <t>File upload validation edge cases not fully listed.</t>
  </si>
  <si>
    <t>Continue  documenting progress and completed tasks.</t>
  </si>
  <si>
    <t>Added input validation and introduced code review before merging.</t>
  </si>
  <si>
    <t>Start reviewing code before merging into the main branch.</t>
  </si>
  <si>
    <t>Stop skipping input validation during development.</t>
  </si>
  <si>
    <t>US009</t>
  </si>
  <si>
    <t>T08</t>
  </si>
  <si>
    <t>Design Triage Agent rules: severity keyword sets, weighting logic, and confidence scoring approach</t>
  </si>
  <si>
    <t>14-Jul-2026</t>
  </si>
  <si>
    <t>Design</t>
  </si>
  <si>
    <t>T09</t>
  </si>
  <si>
    <t>Implement TriageAgent.classify() — severity scoring and Medium default fallback for weak signals</t>
  </si>
  <si>
    <t>15-Jul-2026</t>
  </si>
  <si>
    <t>T10</t>
  </si>
  <si>
    <t>Implement priority mapping (P0-P3) and urgency-keyword priority bump logic</t>
  </si>
  <si>
    <t>16-Jul-2026</t>
  </si>
  <si>
    <t>T11</t>
  </si>
  <si>
    <t>Implement component classification (Auth, Payments, DB, API, Frontend, etc.) via keyword scoring</t>
  </si>
  <si>
    <t>17-Jul-2026</t>
  </si>
  <si>
    <t>US010</t>
  </si>
  <si>
    <t>T12</t>
  </si>
  <si>
    <t>Add confidence score calculation and human-readable reasoning string to Triage Agent output</t>
  </si>
  <si>
    <t>18-Jul-2026</t>
  </si>
  <si>
    <t>US011</t>
  </si>
  <si>
    <t>T13</t>
  </si>
  <si>
    <t>Design Log Analysis Agent parsing rules for Python, Java, JS/Node and generic log formats</t>
  </si>
  <si>
    <t>T14</t>
  </si>
  <si>
    <t>Implement Python traceback parsing (exception type, message, last-frame failure point)</t>
  </si>
  <si>
    <t>19-Jul-2026</t>
  </si>
  <si>
    <t>T15</t>
  </si>
  <si>
    <t>Implement Java stack trace and JS/Node runtime error parsing</t>
  </si>
  <si>
    <t>20-Jul-2026</t>
  </si>
  <si>
    <t>US012</t>
  </si>
  <si>
    <t>T16</t>
  </si>
  <si>
    <t>Extract affected code path(s) list and generate error signature hash for future duplicate detection</t>
  </si>
  <si>
    <t>US013</t>
  </si>
  <si>
    <t>T17</t>
  </si>
  <si>
    <t>Build orchestrator to run Triage Agent and Log Analysis Agent together on every submission</t>
  </si>
  <si>
    <t>21-Jul-2026</t>
  </si>
  <si>
    <t>US014</t>
  </si>
  <si>
    <t>T18</t>
  </si>
  <si>
    <t>Add AgentAnalysis DB model and persist combined structured output keyed by bug_id</t>
  </si>
  <si>
    <t>T19</t>
  </si>
  <si>
    <t>Wire /api/bugs/paste and /api/bugs/upload to run analysis before save and return it in the response</t>
  </si>
  <si>
    <t>22-Jul-2026</t>
  </si>
  <si>
    <t>T20</t>
  </si>
  <si>
    <t>Add GET /api/bugs/{id}/analysis endpoint and update frontend to show agent results in preview and history modal</t>
  </si>
  <si>
    <t>US015</t>
  </si>
  <si>
    <t>T21</t>
  </si>
  <si>
    <t>Build seeded validation dataset with varied bug report styles and error types</t>
  </si>
  <si>
    <t>23-Jul-2026</t>
  </si>
  <si>
    <t>Testing</t>
  </si>
  <si>
    <t>T22</t>
  </si>
  <si>
    <t>Write validate_agents.py and run it to measure and report Triage/Log Analysis accuracy</t>
  </si>
  <si>
    <t>Started on Triage Agent keyword rules using the design doc as reference.</t>
  </si>
  <si>
    <t>Needed to decide how many keyword matches should count as "strong enough" evidence before bumping severity.</t>
  </si>
  <si>
    <t>Added a minimum match-count threshold so a single incidental keyword no longer overrides the Medium default.</t>
  </si>
  <si>
    <t>Log Analysis Agent regex for JS/Node errors was matching the wrong filename when the stack line had a nested function call.</t>
  </si>
  <si>
    <t>Tightened the regex to prefer the file:line:col captured inside parentheses first.</t>
  </si>
  <si>
    <t>Wiring the orchestrator into the existing paste/upload endpoints without breaking Milestone 1 behavior took longer than estimated.</t>
  </si>
  <si>
    <t>Ran both agents before creating the DB record and reused the existing severity field instead of adding a new one.</t>
  </si>
  <si>
    <t>Finished persisting combined agent output and added the /analysis endpoint.</t>
  </si>
  <si>
    <t>Frontend history modal did not have a place to show agent results yet.</t>
  </si>
  <si>
    <t>Added an Agent Analysis section to the modal and preview panel showing severity, confidence bar, and reasoning.</t>
  </si>
  <si>
    <t>Needed realistic and varied sample bug reports to test accuracy, not just clean examples.</t>
  </si>
  <si>
    <t>Built a seeded dataset covering Python, Java, JS, plain-text, and cosmetic/UI reports.</t>
  </si>
  <si>
    <t>Ran validate_agents.py, reviewed misclassifications, and logged accuracy results for both agents.</t>
  </si>
  <si>
    <t>Start writing small validation scripts alongside each agent instead of testing everything at the end.</t>
  </si>
  <si>
    <t>Stop hardcoding confidence thresholds without checking them against real varied examples first.</t>
  </si>
  <si>
    <t>Continue documenting reasoning strings so agent output stays explainable.</t>
  </si>
  <si>
    <t>Added the seeded validation dataset and adjusted severity/confidence thresholds after reviewing accuracy results.</t>
  </si>
  <si>
    <t>As a developer, I would like the system to fetch similar historical defects using the RAG based retrieval in order to be able to propose a hypothesis for the root causes.</t>
  </si>
  <si>
    <t>I want the Root Cause Agent to produce a level of confidence, and supporting historical evidence, in addition to the hypothesis, as a developer.</t>
  </si>
  <si>
    <t>As a developer, I wish I had a Duplicate Detection Agent to have scanned past bugs and the history of the KB for any duplicates.</t>
  </si>
  <si>
    <t>For a developer, there is a need to get the similarity scores and resolution summaries when duplicate matches are present.</t>
  </si>
  <si>
    <t>As a developer, I want a Remediation Agent to provide me with suggestions for fixes based on previous solutions and root cause analysis.</t>
  </si>
  <si>
    <t>As a developer, I want remediation suggestions to contain best-practices and confidence scoring.</t>
  </si>
  <si>
    <t>As a developer, I want to see a Structured Findings Dashboard with all of the above elements in one.</t>
  </si>
  <si>
    <t>As a developer I would like to populate a historical defect knowledge base for the agents to look up against.</t>
  </si>
  <si>
    <t>US016</t>
  </si>
  <si>
    <t>US017</t>
  </si>
  <si>
    <t>US018</t>
  </si>
  <si>
    <t>US019</t>
  </si>
  <si>
    <t>US020</t>
  </si>
  <si>
    <t>US021</t>
  </si>
  <si>
    <t>US022</t>
  </si>
  <si>
    <t>US023</t>
  </si>
  <si>
    <t>Should</t>
  </si>
  <si>
    <t>Create a TF-IDF + Cosine Similarity indexer (no external vector DB – all pure Python)</t>
  </si>
  <si>
    <t>Seed knowledge base table for defectories of representative defects from components</t>
  </si>
  <si>
    <t>Implement RootCauseAgent: get top-k historical matches and create root cause query from Triage + Log Analysis output</t>
  </si>
  <si>
    <t>Implement DuplicateDetectionAgent: Create Combined Corpus from Historical KB and previous live submissions</t>
  </si>
  <si>
    <t>Include similarity threshold filtering and resolution summary lookup for duplicate matches.</t>
  </si>
  <si>
    <t>For RemediationAgent: collect context for Triage/Log/Root Cause/Duplicate and choose best-practice playbook per component</t>
  </si>
  <si>
    <t>Add remediation grounding sources, confidence blending and step de-duplication logic</t>
  </si>
  <si>
    <t>To execute all 5 Agents per submission and persist combined AgentAnalysis record, extend Orchestrator to run all 5 agents.</t>
  </si>
  <si>
    <t>Create dashboard rendering of Root Cause evidence cards and Duplicate match cards, using similarity pills.</t>
  </si>
  <si>
    <t>T23</t>
  </si>
  <si>
    <t>T24</t>
  </si>
  <si>
    <t>T25</t>
  </si>
  <si>
    <t>T26</t>
  </si>
  <si>
    <t>T27</t>
  </si>
  <si>
    <t>T28</t>
  </si>
  <si>
    <t>T29</t>
  </si>
  <si>
    <t>T30</t>
  </si>
  <si>
    <t>T31</t>
  </si>
  <si>
    <t>T32</t>
  </si>
  <si>
    <t>T33</t>
  </si>
  <si>
    <t>T34</t>
  </si>
  <si>
    <t>T35</t>
  </si>
  <si>
    <t xml:space="preserve">Practice with confidence scoring and reasoning string for implementing root cause hypothesis synthesis </t>
  </si>
  <si>
    <t xml:space="preserve">To document 5-agent Structured Findings Dashboard </t>
  </si>
  <si>
    <t xml:space="preserve">Starts the Structured Findings Dashboard layout </t>
  </si>
  <si>
    <t>24-Jul-2026</t>
  </si>
  <si>
    <t>25-Jul-2026</t>
  </si>
  <si>
    <t>26-Jul-2026</t>
  </si>
  <si>
    <t>27-Jul-2026</t>
  </si>
  <si>
    <t>28-Jul-2026</t>
  </si>
  <si>
    <t>29-Jul-2026</t>
  </si>
  <si>
    <t>30-Jul-2026</t>
  </si>
  <si>
    <t>31-Jul-2026</t>
  </si>
  <si>
    <t>Copy the following functions</t>
  </si>
  <si>
    <t>Unclear how many top-k matches to retrieve for a useful but not noisy root cause hypothesis.</t>
  </si>
  <si>
    <t>Duplicate Detection Agent was returning too many low-similarity noise matches from short bug titles.</t>
  </si>
  <si>
    <t>Remediation Agent recommendations sometimes repeated the same step from both duplicate and root cause context.</t>
  </si>
  <si>
    <t>Needed a consistent way to trace which recommendations came from historical data vs best-practice rules.</t>
  </si>
  <si>
    <t>Dashboard was becoming cluttered trying to show 5 agent sections on one panel.</t>
  </si>
  <si>
    <t>Started building the TF-IDF similarity utility and seeding the historical defect KB.</t>
  </si>
  <si>
    <t>Settled on top-3 matches with strong/weak similarity thresholds (0.35 / 0.15).</t>
  </si>
  <si>
    <t>Added a 0.20 similarity threshold to filter out weak duplicate candidates.</t>
  </si>
  <si>
    <t>Added step de-duplication while preserving priority order.</t>
  </si>
  <si>
    <t>Added a sources list to Remediation output recording every grounding reference.</t>
  </si>
  <si>
    <t>Finished the Orchestrator changes to run all 5 agents and persist one combined AgentAnalysis record.</t>
  </si>
  <si>
    <t>Split the dashboard into clearly separated, color-coded sections per agent with confidence bars.</t>
  </si>
  <si>
    <t>Completed dashboard wiring for both the live preview and the history detail modal.</t>
  </si>
  <si>
    <t>Start designing similarity thresholds against sample data before hardcoding them into agents.</t>
  </si>
  <si>
    <t>Continue tracing every recommendation back to its grounding source for explainability.</t>
  </si>
  <si>
    <t>Tuned similarity thresholds against real seeded data and standardized dashboard section styling across all 5 agents.</t>
  </si>
  <si>
    <t xml:space="preserve">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</si>
</sst>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3" x14ac:knownFonts="1">
    <font>
      <sz val="10"/>
      <name val="Arial"/>
      <charset val="1"/>
    </font>
    <font>
      <sz val="10"/>
      <name val="Arial"/>
      <family val="2"/>
    </font>
    <font>
      <sz val="10"/>
      <name val="Arial"/>
      <family val="2"/>
      <charset val="1"/>
    </font>
    <font>
      <b/>
      <sz val="8"/>
      <color rgb="FF000000"/>
      <name val="Arial"/>
      <family val="2"/>
      <charset val="1"/>
    </font>
    <font>
      <sz val="11"/>
      <name val="Arial"/>
      <family val="2"/>
      <charset val="1"/>
    </font>
    <font>
      <sz val="8"/>
      <name val="Arial"/>
      <family val="2"/>
      <charset val="1"/>
    </font>
    <font>
      <sz val="9"/>
      <name val="Arial"/>
      <family val="2"/>
      <charset val="1"/>
    </font>
    <font>
      <b/>
      <sz val="8"/>
      <color rgb="FFFFFFFF"/>
      <name val="Arial"/>
      <family val="2"/>
      <charset val="1"/>
    </font>
    <font>
      <b/>
      <sz val="12"/>
      <color rgb="FF000000"/>
      <name val="Arial"/>
      <family val="2"/>
      <charset val="1"/>
    </font>
    <font>
      <b/>
      <sz val="8"/>
      <name val="Arial"/>
      <family val="2"/>
      <charset val="1"/>
    </font>
    <font>
      <b/>
      <sz val="10"/>
      <name val="Arial"/>
      <family val="2"/>
      <charset val="1"/>
    </font>
    <font>
      <sz val="10"/>
      <color rgb="FF008000"/>
      <name val="Arial"/>
      <family val="2"/>
      <charset val="1"/>
    </font>
    <font>
      <sz val="10"/>
      <color rgb="FFFF0000"/>
      <name val="Arial"/>
      <family val="2"/>
      <charset val="1"/>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0" fontId="2" fillId="0" borderId="0"/>
    <xf numFmtId="0" fontId="2" fillId="0" borderId="0"/>
    <xf numFmtId="0" fontId="2" fillId="0" borderId="0"/>
    <xf numFmtId="0" fontId="2" fillId="0" borderId="0"/>
    <xf numFmtId="0" fontId="2" fillId="0" borderId="0"/>
  </cellStyleXfs>
  <cellXfs count="66">
    <xf numFmtId="0" fontId="0" fillId="0" borderId="0" xfId="0"/>
    <xf numFmtId="0" fontId="3" fillId="2" borderId="1" xfId="0" applyFont="1" applyFill="1" applyBorder="1" applyAlignment="1">
      <alignment horizontal="center" vertical="center" textRotation="90" wrapText="1"/>
    </xf>
    <xf numFmtId="0" fontId="3" fillId="2" borderId="2"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4" fillId="0" borderId="3" xfId="0" applyFont="1" applyBorder="1" applyAlignment="1">
      <alignment horizontal="left" vertical="center"/>
    </xf>
    <xf numFmtId="0" fontId="4" fillId="0" borderId="1" xfId="0" applyFont="1" applyBorder="1" applyAlignment="1">
      <alignment horizontal="left" vertical="center"/>
    </xf>
    <xf numFmtId="0" fontId="4" fillId="0" borderId="1" xfId="0" applyFont="1" applyBorder="1" applyAlignment="1">
      <alignment vertical="center" wrapText="1"/>
    </xf>
    <xf numFmtId="0" fontId="5" fillId="0" borderId="1" xfId="0" applyFont="1" applyBorder="1" applyAlignment="1">
      <alignment horizontal="center" vertical="center" wrapText="1"/>
    </xf>
    <xf numFmtId="0" fontId="0" fillId="0" borderId="1" xfId="0" applyBorder="1"/>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2" fillId="0" borderId="1" xfId="0" applyFont="1" applyBorder="1" applyAlignment="1">
      <alignment vertical="center" wrapText="1"/>
    </xf>
    <xf numFmtId="0" fontId="5" fillId="0" borderId="0" xfId="0" applyFont="1" applyProtection="1">
      <protection locked="0"/>
    </xf>
    <xf numFmtId="0" fontId="5" fillId="0" borderId="0" xfId="0" applyFont="1" applyAlignment="1" applyProtection="1">
      <alignment horizontal="right" wrapText="1"/>
      <protection locked="0"/>
    </xf>
    <xf numFmtId="0" fontId="5" fillId="0" borderId="0" xfId="0" applyFont="1" applyAlignment="1" applyProtection="1">
      <alignment vertical="top" wrapText="1"/>
      <protection locked="0"/>
    </xf>
    <xf numFmtId="0" fontId="5" fillId="0" borderId="0" xfId="0" applyFont="1" applyAlignment="1" applyProtection="1">
      <alignment horizontal="center" vertical="center" wrapText="1"/>
      <protection locked="0"/>
    </xf>
    <xf numFmtId="164" fontId="5" fillId="0" borderId="0" xfId="0" applyNumberFormat="1" applyFont="1" applyAlignment="1" applyProtection="1">
      <alignment wrapText="1"/>
      <protection locked="0"/>
    </xf>
    <xf numFmtId="0" fontId="5" fillId="0" borderId="0" xfId="0" applyFont="1" applyAlignment="1" applyProtection="1">
      <alignment wrapText="1"/>
      <protection locked="0"/>
    </xf>
    <xf numFmtId="0" fontId="2" fillId="3" borderId="4" xfId="0" applyFont="1" applyFill="1" applyBorder="1" applyAlignment="1">
      <alignment vertical="center"/>
    </xf>
    <xf numFmtId="0" fontId="2" fillId="3" borderId="0" xfId="0" applyFont="1" applyFill="1" applyAlignment="1">
      <alignment vertical="center"/>
    </xf>
    <xf numFmtId="0" fontId="2" fillId="3" borderId="5" xfId="0" applyFont="1" applyFill="1" applyBorder="1" applyAlignment="1">
      <alignment vertical="center"/>
    </xf>
    <xf numFmtId="0" fontId="3" fillId="4" borderId="8"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7" fillId="0" borderId="0" xfId="0" applyFont="1" applyAlignment="1" applyProtection="1">
      <alignment horizontal="center" vertical="center" wrapText="1"/>
      <protection locked="0"/>
    </xf>
    <xf numFmtId="0" fontId="3" fillId="5" borderId="2" xfId="0" applyFont="1" applyFill="1" applyBorder="1" applyAlignment="1">
      <alignment horizontal="center" vertical="center" wrapText="1"/>
    </xf>
    <xf numFmtId="0" fontId="2" fillId="0" borderId="1" xfId="0" applyFont="1" applyBorder="1" applyAlignment="1" applyProtection="1">
      <alignment vertical="center"/>
      <protection locked="0"/>
    </xf>
    <xf numFmtId="0" fontId="2" fillId="0" borderId="9" xfId="0" applyFont="1" applyBorder="1" applyAlignment="1" applyProtection="1">
      <alignment horizontal="center" vertical="center" wrapText="1"/>
      <protection locked="0"/>
    </xf>
    <xf numFmtId="0" fontId="2" fillId="0" borderId="1" xfId="0" applyFont="1" applyBorder="1" applyAlignment="1" applyProtection="1">
      <alignment vertical="center" wrapText="1"/>
      <protection locked="0"/>
    </xf>
    <xf numFmtId="164" fontId="5" fillId="0" borderId="10" xfId="0" applyNumberFormat="1"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165" fontId="2" fillId="0" borderId="11" xfId="0" applyNumberFormat="1"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wrapText="1"/>
      <protection locked="0"/>
    </xf>
    <xf numFmtId="0" fontId="2" fillId="0" borderId="1" xfId="0" applyFont="1" applyBorder="1" applyAlignment="1" applyProtection="1">
      <alignment horizontal="center" vertical="center" wrapText="1"/>
      <protection locked="0"/>
    </xf>
    <xf numFmtId="0" fontId="2" fillId="0" borderId="0" xfId="0" applyFont="1" applyAlignment="1" applyProtection="1">
      <alignment horizontal="center" vertical="center"/>
      <protection locked="0"/>
    </xf>
    <xf numFmtId="0" fontId="2" fillId="0" borderId="12" xfId="0" applyFont="1" applyBorder="1" applyAlignment="1" applyProtection="1">
      <alignment horizontal="center" vertical="center" wrapText="1"/>
      <protection locked="0"/>
    </xf>
    <xf numFmtId="0" fontId="2" fillId="0" borderId="12" xfId="0" applyFont="1" applyBorder="1" applyAlignment="1" applyProtection="1">
      <alignment wrapText="1"/>
      <protection locked="0"/>
    </xf>
    <xf numFmtId="165" fontId="2" fillId="0" borderId="12" xfId="0" applyNumberFormat="1" applyFont="1" applyBorder="1" applyAlignment="1" applyProtection="1">
      <alignment horizontal="center" vertical="center" wrapText="1"/>
      <protection locked="0"/>
    </xf>
    <xf numFmtId="165" fontId="2" fillId="0" borderId="0" xfId="0" applyNumberFormat="1" applyFont="1" applyAlignment="1" applyProtection="1">
      <alignment horizontal="center" vertical="center" wrapText="1"/>
      <protection locked="0"/>
    </xf>
    <xf numFmtId="0" fontId="2" fillId="0" borderId="12" xfId="0" applyFont="1" applyBorder="1" applyAlignment="1" applyProtection="1">
      <alignment horizontal="center" vertical="center"/>
      <protection locked="0"/>
    </xf>
    <xf numFmtId="0" fontId="9" fillId="7" borderId="1" xfId="0" applyFont="1" applyFill="1" applyBorder="1" applyAlignment="1">
      <alignment horizontal="center" vertical="center" wrapText="1"/>
    </xf>
    <xf numFmtId="0" fontId="10" fillId="0" borderId="0" xfId="0" applyFont="1"/>
    <xf numFmtId="0" fontId="0" fillId="0" borderId="1" xfId="0" applyBorder="1" applyAlignment="1">
      <alignment horizontal="left" vertical="center" wrapText="1"/>
    </xf>
    <xf numFmtId="0" fontId="2" fillId="0" borderId="1" xfId="0" applyFont="1" applyBorder="1" applyAlignment="1">
      <alignment horizontal="left" vertical="center" wrapText="1"/>
    </xf>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10" fillId="8"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xf>
    <xf numFmtId="0" fontId="2" fillId="0" borderId="1" xfId="0" applyFont="1" applyBorder="1"/>
    <xf numFmtId="0" fontId="11" fillId="0" borderId="1" xfId="0" applyFont="1" applyBorder="1" applyAlignment="1">
      <alignment horizontal="left" vertical="top" wrapText="1"/>
    </xf>
    <xf numFmtId="0" fontId="2" fillId="0" borderId="1" xfId="0" applyFont="1" applyBorder="1" applyAlignment="1">
      <alignment horizontal="left" vertical="top" wrapText="1"/>
    </xf>
    <xf numFmtId="0" fontId="12" fillId="0" borderId="1" xfId="0" applyFont="1" applyBorder="1" applyAlignment="1">
      <alignment horizontal="left" vertical="top" wrapText="1"/>
    </xf>
    <xf numFmtId="0" fontId="1" fillId="0" borderId="0" xfId="0" applyFont="1"/>
    <xf numFmtId="164" fontId="2" fillId="0" borderId="10" xfId="0" applyNumberFormat="1" applyFont="1" applyBorder="1" applyAlignment="1" applyProtection="1">
      <alignment horizontal="center" vertical="center" wrapText="1"/>
      <protection locked="0"/>
    </xf>
    <xf numFmtId="0" fontId="1" fillId="0" borderId="1" xfId="0" applyFont="1" applyBorder="1" applyAlignment="1">
      <alignment horizontal="left" vertical="center" wrapText="1"/>
    </xf>
    <xf numFmtId="15" fontId="2" fillId="0" borderId="1" xfId="0" applyNumberFormat="1" applyFont="1" applyBorder="1" applyAlignment="1">
      <alignment horizontal="center" vertical="center"/>
    </xf>
    <xf numFmtId="0" fontId="3" fillId="4" borderId="2" xfId="0" applyFont="1" applyFill="1" applyBorder="1" applyAlignment="1">
      <alignment horizontal="center" vertical="center" wrapText="1"/>
    </xf>
    <xf numFmtId="0" fontId="8" fillId="6" borderId="1" xfId="0" applyFont="1" applyFill="1" applyBorder="1" applyAlignment="1">
      <alignment horizontal="center" vertical="center" wrapText="1"/>
    </xf>
    <xf numFmtId="49" fontId="3" fillId="4" borderId="6"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64" fontId="3" fillId="4" borderId="2" xfId="0" applyNumberFormat="1" applyFont="1" applyFill="1" applyBorder="1" applyAlignment="1">
      <alignment horizontal="center" vertical="center"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topLeftCell="F4" zoomScaleNormal="100" workbookViewId="0">
      <selection activeCell="F15" sqref="F15"/>
    </sheetView>
  </sheetViews>
  <sheetFormatPr defaultColWidth="9.08984375" defaultRowHeight="12.5" x14ac:dyDescent="0.25"/>
  <cols>
    <col min="2" max="2" width="12.453125" customWidth="1"/>
    <col min="4" max="4" width="82.81640625" customWidth="1"/>
    <col min="5" max="5" width="15.54296875" customWidth="1"/>
    <col min="6" max="6" width="15.08984375" customWidth="1"/>
    <col min="7" max="7" width="14.08984375" customWidth="1"/>
    <col min="8" max="8" width="20.363281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3">
      <c r="A2" s="3">
        <v>1</v>
      </c>
      <c r="B2" s="3">
        <v>1</v>
      </c>
      <c r="C2" s="4" t="s">
        <v>8</v>
      </c>
      <c r="D2" s="5" t="s">
        <v>9</v>
      </c>
      <c r="E2" s="3" t="s">
        <v>90</v>
      </c>
      <c r="F2" s="3" t="s">
        <v>11</v>
      </c>
      <c r="G2" s="3" t="s">
        <v>89</v>
      </c>
      <c r="H2" s="57" t="s">
        <v>88</v>
      </c>
    </row>
    <row r="3" spans="1:8" ht="33.75" customHeight="1" x14ac:dyDescent="0.3">
      <c r="A3" s="3">
        <v>1</v>
      </c>
      <c r="B3" s="3">
        <v>1</v>
      </c>
      <c r="C3" s="4" t="s">
        <v>12</v>
      </c>
      <c r="D3" s="6" t="s">
        <v>13</v>
      </c>
      <c r="E3" s="3" t="s">
        <v>10</v>
      </c>
      <c r="F3" s="3" t="s">
        <v>8</v>
      </c>
      <c r="G3" s="3" t="s">
        <v>89</v>
      </c>
      <c r="H3" s="3" t="s">
        <v>88</v>
      </c>
    </row>
    <row r="4" spans="1:8" ht="27.75" customHeight="1" x14ac:dyDescent="0.3">
      <c r="A4" s="3">
        <v>1</v>
      </c>
      <c r="B4" s="3">
        <v>1</v>
      </c>
      <c r="C4" s="4" t="s">
        <v>14</v>
      </c>
      <c r="D4" s="6" t="s">
        <v>15</v>
      </c>
      <c r="E4" s="3" t="s">
        <v>90</v>
      </c>
      <c r="F4" s="3" t="s">
        <v>12</v>
      </c>
      <c r="G4" s="3" t="s">
        <v>89</v>
      </c>
      <c r="H4" s="3" t="s">
        <v>88</v>
      </c>
    </row>
    <row r="5" spans="1:8" ht="29.25" customHeight="1" x14ac:dyDescent="0.3">
      <c r="A5" s="3">
        <v>1</v>
      </c>
      <c r="B5" s="3">
        <v>1</v>
      </c>
      <c r="C5" s="4" t="s">
        <v>16</v>
      </c>
      <c r="D5" s="6" t="s">
        <v>87</v>
      </c>
      <c r="E5" s="3" t="s">
        <v>91</v>
      </c>
      <c r="F5" s="3" t="s">
        <v>8</v>
      </c>
      <c r="G5" s="3" t="s">
        <v>89</v>
      </c>
      <c r="H5" s="3" t="s">
        <v>88</v>
      </c>
    </row>
    <row r="6" spans="1:8" ht="14.25" customHeight="1" x14ac:dyDescent="0.3">
      <c r="A6" s="3">
        <v>1</v>
      </c>
      <c r="B6" s="3">
        <v>1</v>
      </c>
      <c r="C6" s="4" t="s">
        <v>17</v>
      </c>
      <c r="D6" s="6" t="s">
        <v>18</v>
      </c>
      <c r="E6" s="3" t="s">
        <v>92</v>
      </c>
      <c r="F6" s="3" t="s">
        <v>8</v>
      </c>
      <c r="G6" s="3" t="s">
        <v>89</v>
      </c>
      <c r="H6" s="3" t="s">
        <v>88</v>
      </c>
    </row>
    <row r="7" spans="1:8" ht="14.25" customHeight="1" x14ac:dyDescent="0.3">
      <c r="A7" s="3">
        <v>2</v>
      </c>
      <c r="B7" s="3">
        <v>2</v>
      </c>
      <c r="C7" s="4" t="s">
        <v>19</v>
      </c>
      <c r="D7" s="6" t="s">
        <v>20</v>
      </c>
      <c r="E7" s="3" t="s">
        <v>90</v>
      </c>
      <c r="F7" s="3" t="s">
        <v>16</v>
      </c>
      <c r="G7" s="3" t="s">
        <v>89</v>
      </c>
      <c r="H7" s="3" t="s">
        <v>88</v>
      </c>
    </row>
    <row r="8" spans="1:8" ht="14.25" customHeight="1" x14ac:dyDescent="0.3">
      <c r="A8" s="3">
        <v>2</v>
      </c>
      <c r="B8" s="3">
        <v>2</v>
      </c>
      <c r="C8" s="4" t="s">
        <v>21</v>
      </c>
      <c r="D8" s="6" t="s">
        <v>22</v>
      </c>
      <c r="E8" s="3" t="s">
        <v>91</v>
      </c>
      <c r="F8" s="3" t="s">
        <v>19</v>
      </c>
      <c r="G8" s="3" t="s">
        <v>89</v>
      </c>
      <c r="H8" s="3" t="s">
        <v>88</v>
      </c>
    </row>
    <row r="9" spans="1:8" ht="14.25" customHeight="1" x14ac:dyDescent="0.3">
      <c r="A9" s="3">
        <v>2</v>
      </c>
      <c r="B9" s="3">
        <v>2</v>
      </c>
      <c r="C9" s="4" t="s">
        <v>23</v>
      </c>
      <c r="D9" s="6" t="s">
        <v>24</v>
      </c>
      <c r="E9" s="3" t="s">
        <v>93</v>
      </c>
      <c r="F9" s="3" t="s">
        <v>19</v>
      </c>
      <c r="G9" s="3" t="s">
        <v>89</v>
      </c>
      <c r="H9" s="3" t="s">
        <v>88</v>
      </c>
    </row>
    <row r="10" spans="1:8" ht="14.25" customHeight="1" x14ac:dyDescent="0.3">
      <c r="A10" s="3">
        <v>3</v>
      </c>
      <c r="B10" s="3">
        <v>3</v>
      </c>
      <c r="C10" s="4" t="s">
        <v>180</v>
      </c>
      <c r="D10" s="6" t="s">
        <v>172</v>
      </c>
      <c r="E10" s="3" t="s">
        <v>90</v>
      </c>
      <c r="F10" s="3" t="s">
        <v>136</v>
      </c>
      <c r="G10" s="3" t="s">
        <v>89</v>
      </c>
      <c r="H10" s="57" t="s">
        <v>239</v>
      </c>
    </row>
    <row r="11" spans="1:8" ht="14.25" customHeight="1" x14ac:dyDescent="0.3">
      <c r="A11" s="3">
        <v>3</v>
      </c>
      <c r="B11" s="3">
        <v>3</v>
      </c>
      <c r="C11" s="4" t="s">
        <v>181</v>
      </c>
      <c r="D11" s="6" t="s">
        <v>173</v>
      </c>
      <c r="E11" s="3" t="s">
        <v>90</v>
      </c>
      <c r="F11" s="3" t="s">
        <v>180</v>
      </c>
      <c r="G11" s="3" t="s">
        <v>89</v>
      </c>
      <c r="H11" s="57" t="s">
        <v>239</v>
      </c>
    </row>
    <row r="12" spans="1:8" ht="14.25" customHeight="1" x14ac:dyDescent="0.3">
      <c r="A12" s="3">
        <v>3</v>
      </c>
      <c r="B12" s="3">
        <v>3</v>
      </c>
      <c r="C12" s="4" t="s">
        <v>182</v>
      </c>
      <c r="D12" s="6" t="s">
        <v>174</v>
      </c>
      <c r="E12" s="3" t="s">
        <v>90</v>
      </c>
      <c r="F12" s="3" t="s">
        <v>180</v>
      </c>
      <c r="G12" s="3" t="s">
        <v>89</v>
      </c>
      <c r="H12" s="57" t="s">
        <v>239</v>
      </c>
    </row>
    <row r="13" spans="1:8" ht="14.25" customHeight="1" x14ac:dyDescent="0.3">
      <c r="A13" s="3">
        <v>3</v>
      </c>
      <c r="B13" s="3">
        <v>3</v>
      </c>
      <c r="C13" s="4" t="s">
        <v>183</v>
      </c>
      <c r="D13" s="6" t="s">
        <v>175</v>
      </c>
      <c r="E13" s="3" t="s">
        <v>90</v>
      </c>
      <c r="F13" s="3" t="s">
        <v>182</v>
      </c>
      <c r="G13" s="3" t="s">
        <v>89</v>
      </c>
      <c r="H13" s="57" t="s">
        <v>239</v>
      </c>
    </row>
    <row r="14" spans="1:8" ht="14.25" customHeight="1" x14ac:dyDescent="0.3">
      <c r="A14" s="3">
        <v>3</v>
      </c>
      <c r="B14" s="3">
        <v>3</v>
      </c>
      <c r="C14" s="4" t="s">
        <v>184</v>
      </c>
      <c r="D14" s="6" t="s">
        <v>176</v>
      </c>
      <c r="E14" s="3" t="s">
        <v>90</v>
      </c>
      <c r="F14" s="3" t="s">
        <v>183</v>
      </c>
      <c r="G14" s="3" t="s">
        <v>89</v>
      </c>
      <c r="H14" s="57" t="s">
        <v>239</v>
      </c>
    </row>
    <row r="15" spans="1:8" ht="14.25" customHeight="1" x14ac:dyDescent="0.3">
      <c r="A15" s="3">
        <v>3</v>
      </c>
      <c r="B15" s="3">
        <v>3</v>
      </c>
      <c r="C15" s="4" t="s">
        <v>185</v>
      </c>
      <c r="D15" s="7" t="s">
        <v>177</v>
      </c>
      <c r="E15" s="3" t="s">
        <v>188</v>
      </c>
      <c r="F15" s="3" t="s">
        <v>184</v>
      </c>
      <c r="G15" s="3" t="s">
        <v>89</v>
      </c>
      <c r="H15" s="57" t="s">
        <v>239</v>
      </c>
    </row>
    <row r="16" spans="1:8" ht="14.25" customHeight="1" x14ac:dyDescent="0.3">
      <c r="A16" s="3">
        <v>3</v>
      </c>
      <c r="B16" s="3">
        <v>3</v>
      </c>
      <c r="C16" s="4" t="s">
        <v>186</v>
      </c>
      <c r="D16" s="7" t="s">
        <v>178</v>
      </c>
      <c r="E16" s="3" t="s">
        <v>90</v>
      </c>
      <c r="F16" s="3" t="s">
        <v>184</v>
      </c>
      <c r="G16" s="3" t="s">
        <v>89</v>
      </c>
      <c r="H16" s="57" t="s">
        <v>239</v>
      </c>
    </row>
    <row r="17" spans="1:8" ht="12.75" customHeight="1" x14ac:dyDescent="0.3">
      <c r="A17" s="3">
        <v>3</v>
      </c>
      <c r="B17" s="3">
        <v>3</v>
      </c>
      <c r="C17" s="4" t="s">
        <v>187</v>
      </c>
      <c r="D17" s="10" t="s">
        <v>179</v>
      </c>
      <c r="E17" s="3" t="s">
        <v>90</v>
      </c>
      <c r="F17" s="3" t="s">
        <v>180</v>
      </c>
      <c r="G17" s="3" t="s">
        <v>89</v>
      </c>
      <c r="H17" s="57" t="s">
        <v>239</v>
      </c>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sheetData>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topLeftCell="C31" zoomScale="95" zoomScaleNormal="90" workbookViewId="0">
      <selection activeCell="G34" sqref="G34"/>
    </sheetView>
  </sheetViews>
  <sheetFormatPr defaultColWidth="9.08984375" defaultRowHeight="12.5" x14ac:dyDescent="0.25"/>
  <cols>
    <col min="1" max="1" width="10" style="13" customWidth="1"/>
    <col min="2" max="2" width="9.7265625" style="14" customWidth="1"/>
    <col min="3" max="3" width="41.26953125" style="15" customWidth="1"/>
    <col min="4" max="4" width="11.453125" style="16" customWidth="1"/>
    <col min="5" max="5" width="11.453125" style="17" customWidth="1"/>
    <col min="6" max="6" width="9.7265625" style="18" customWidth="1"/>
    <col min="7" max="7" width="17" style="13" customWidth="1"/>
    <col min="8" max="8" width="13.26953125" style="13" customWidth="1"/>
    <col min="9" max="9" width="9.26953125" style="13" customWidth="1"/>
    <col min="10" max="10" width="10.81640625" style="13" customWidth="1"/>
    <col min="11" max="11" width="10.26953125" style="13" customWidth="1"/>
    <col min="12" max="12" width="10.08984375" style="13" customWidth="1"/>
    <col min="13" max="257" width="9.08984375" style="13"/>
  </cols>
  <sheetData>
    <row r="1" spans="1:23" ht="18.75" customHeight="1" x14ac:dyDescent="0.25">
      <c r="A1" s="19" t="s">
        <v>25</v>
      </c>
      <c r="B1" s="20"/>
      <c r="C1" s="20"/>
      <c r="D1" s="20"/>
      <c r="E1" s="20"/>
      <c r="F1" s="20"/>
      <c r="G1" s="20"/>
      <c r="H1" s="20"/>
      <c r="I1" s="20"/>
      <c r="J1" s="20"/>
      <c r="K1" s="20"/>
      <c r="L1" s="20"/>
      <c r="M1" s="20"/>
      <c r="N1" s="20"/>
      <c r="O1" s="20"/>
      <c r="P1" s="20"/>
      <c r="Q1" s="20"/>
      <c r="R1" s="20"/>
      <c r="S1" s="20"/>
      <c r="T1" s="21"/>
      <c r="U1" s="21"/>
      <c r="V1" s="20"/>
      <c r="W1" s="21"/>
    </row>
    <row r="2" spans="1:23" s="24" customFormat="1" ht="45.75" customHeight="1" x14ac:dyDescent="0.25">
      <c r="A2" s="63" t="s">
        <v>2</v>
      </c>
      <c r="B2" s="64" t="s">
        <v>26</v>
      </c>
      <c r="C2" s="61" t="s">
        <v>27</v>
      </c>
      <c r="D2" s="61" t="s">
        <v>28</v>
      </c>
      <c r="E2" s="65" t="s">
        <v>29</v>
      </c>
      <c r="F2" s="61" t="s">
        <v>30</v>
      </c>
      <c r="G2" s="61" t="s">
        <v>31</v>
      </c>
      <c r="H2" s="61" t="s">
        <v>7</v>
      </c>
      <c r="I2" s="22" t="s">
        <v>32</v>
      </c>
      <c r="J2" s="23" t="s">
        <v>33</v>
      </c>
      <c r="K2" s="23" t="s">
        <v>34</v>
      </c>
      <c r="L2" s="23" t="s">
        <v>35</v>
      </c>
      <c r="M2" s="23" t="s">
        <v>36</v>
      </c>
      <c r="N2" s="23" t="s">
        <v>37</v>
      </c>
      <c r="O2" s="23" t="s">
        <v>38</v>
      </c>
      <c r="P2" s="23" t="s">
        <v>39</v>
      </c>
      <c r="Q2" s="23" t="s">
        <v>40</v>
      </c>
      <c r="R2" s="23" t="s">
        <v>41</v>
      </c>
      <c r="S2" s="23" t="s">
        <v>42</v>
      </c>
      <c r="T2" s="23" t="s">
        <v>43</v>
      </c>
      <c r="U2" s="23" t="s">
        <v>44</v>
      </c>
      <c r="V2" s="23" t="s">
        <v>45</v>
      </c>
      <c r="W2" s="23" t="s">
        <v>46</v>
      </c>
    </row>
    <row r="3" spans="1:23" s="24" customFormat="1" ht="30" customHeight="1" x14ac:dyDescent="0.25">
      <c r="A3" s="63"/>
      <c r="B3" s="64"/>
      <c r="C3" s="61"/>
      <c r="D3" s="61"/>
      <c r="E3" s="61"/>
      <c r="F3" s="61"/>
      <c r="G3" s="61"/>
      <c r="H3" s="61"/>
      <c r="I3" s="25">
        <f t="shared" ref="I3:W3" si="0">SUM(I5:I802)</f>
        <v>192</v>
      </c>
      <c r="J3" s="25">
        <f t="shared" si="0"/>
        <v>10</v>
      </c>
      <c r="K3" s="25">
        <f t="shared" si="0"/>
        <v>12</v>
      </c>
      <c r="L3" s="25">
        <f t="shared" si="0"/>
        <v>12</v>
      </c>
      <c r="M3" s="25">
        <f t="shared" si="0"/>
        <v>11</v>
      </c>
      <c r="N3" s="25">
        <f t="shared" si="0"/>
        <v>12</v>
      </c>
      <c r="O3" s="25">
        <f t="shared" si="0"/>
        <v>8</v>
      </c>
      <c r="P3" s="25">
        <f t="shared" si="0"/>
        <v>12</v>
      </c>
      <c r="Q3" s="25">
        <f t="shared" si="0"/>
        <v>7</v>
      </c>
      <c r="R3" s="25">
        <f t="shared" si="0"/>
        <v>4</v>
      </c>
      <c r="S3" s="25">
        <f t="shared" si="0"/>
        <v>6</v>
      </c>
      <c r="T3" s="25">
        <f t="shared" si="0"/>
        <v>4</v>
      </c>
      <c r="U3" s="25">
        <f t="shared" si="0"/>
        <v>6</v>
      </c>
      <c r="V3" s="25">
        <f t="shared" si="0"/>
        <v>5</v>
      </c>
      <c r="W3" s="25">
        <f t="shared" si="0"/>
        <v>11</v>
      </c>
    </row>
    <row r="4" spans="1:23" s="24" customFormat="1" ht="33.75" customHeight="1" x14ac:dyDescent="0.25">
      <c r="A4" s="62" t="s">
        <v>47</v>
      </c>
      <c r="B4" s="62"/>
      <c r="C4" s="62"/>
      <c r="D4" s="62"/>
      <c r="E4" s="62"/>
      <c r="F4" s="62"/>
      <c r="G4" s="62"/>
      <c r="H4" s="62"/>
      <c r="I4" s="62"/>
      <c r="J4" s="62"/>
      <c r="K4" s="62"/>
      <c r="L4" s="62"/>
      <c r="M4" s="62"/>
      <c r="N4" s="62"/>
      <c r="O4" s="62"/>
      <c r="P4" s="62"/>
      <c r="Q4" s="62"/>
      <c r="R4" s="62"/>
      <c r="S4" s="62"/>
      <c r="T4" s="62"/>
      <c r="U4" s="62"/>
      <c r="V4" s="62"/>
      <c r="W4" s="62"/>
    </row>
    <row r="5" spans="1:23" ht="24.75" customHeight="1" x14ac:dyDescent="0.25">
      <c r="A5" s="26"/>
      <c r="B5" s="27"/>
      <c r="C5" s="28"/>
      <c r="D5" s="29"/>
      <c r="E5" s="29"/>
      <c r="F5" s="30"/>
      <c r="G5" s="31"/>
      <c r="H5" s="32"/>
      <c r="I5" s="33"/>
      <c r="J5" s="33"/>
      <c r="K5" s="33"/>
      <c r="L5" s="33"/>
      <c r="M5" s="33"/>
      <c r="N5" s="33"/>
      <c r="O5" s="34"/>
      <c r="P5" s="34"/>
      <c r="Q5" s="34"/>
      <c r="R5" s="34"/>
      <c r="S5" s="34"/>
      <c r="T5" s="33"/>
      <c r="U5" s="33"/>
      <c r="V5" s="33"/>
      <c r="W5" s="33"/>
    </row>
    <row r="6" spans="1:23" ht="24.75" customHeight="1" x14ac:dyDescent="0.25">
      <c r="A6" s="26" t="s">
        <v>8</v>
      </c>
      <c r="B6" s="27" t="s">
        <v>48</v>
      </c>
      <c r="C6" s="28" t="s">
        <v>51</v>
      </c>
      <c r="D6" s="58" t="s">
        <v>49</v>
      </c>
      <c r="E6" s="58" t="s">
        <v>52</v>
      </c>
      <c r="F6" s="30" t="s">
        <v>89</v>
      </c>
      <c r="G6" s="31" t="s">
        <v>94</v>
      </c>
      <c r="H6" s="32" t="s">
        <v>88</v>
      </c>
      <c r="I6" s="33">
        <v>6</v>
      </c>
      <c r="J6" s="33">
        <v>6</v>
      </c>
      <c r="K6" s="33"/>
      <c r="L6" s="33"/>
      <c r="M6" s="33"/>
      <c r="N6" s="33"/>
      <c r="O6" s="34"/>
      <c r="P6" s="34"/>
      <c r="Q6" s="34"/>
      <c r="R6" s="34"/>
      <c r="S6" s="34"/>
      <c r="T6" s="34"/>
      <c r="U6" s="34"/>
      <c r="V6" s="34"/>
      <c r="W6" s="34"/>
    </row>
    <row r="7" spans="1:23" ht="28.5" customHeight="1" x14ac:dyDescent="0.25">
      <c r="A7" s="26" t="s">
        <v>8</v>
      </c>
      <c r="B7" s="27" t="s">
        <v>50</v>
      </c>
      <c r="C7" s="35" t="s">
        <v>54</v>
      </c>
      <c r="D7" s="58" t="s">
        <v>52</v>
      </c>
      <c r="E7" s="58" t="s">
        <v>52</v>
      </c>
      <c r="F7" s="30" t="s">
        <v>89</v>
      </c>
      <c r="G7" s="31" t="s">
        <v>95</v>
      </c>
      <c r="H7" s="32" t="s">
        <v>88</v>
      </c>
      <c r="I7" s="33">
        <v>5</v>
      </c>
      <c r="J7" s="34"/>
      <c r="K7" s="34">
        <v>5</v>
      </c>
      <c r="L7" s="34"/>
      <c r="M7" s="34"/>
      <c r="N7" s="34"/>
      <c r="O7" s="34"/>
      <c r="P7" s="34"/>
      <c r="Q7" s="34"/>
      <c r="R7" s="34"/>
      <c r="S7" s="34"/>
      <c r="T7" s="34"/>
      <c r="U7" s="34"/>
      <c r="V7" s="34"/>
      <c r="W7" s="34"/>
    </row>
    <row r="8" spans="1:23" ht="36.75" customHeight="1" x14ac:dyDescent="0.25">
      <c r="A8" s="26" t="s">
        <v>8</v>
      </c>
      <c r="B8" s="27" t="s">
        <v>53</v>
      </c>
      <c r="C8" s="35" t="s">
        <v>56</v>
      </c>
      <c r="D8" s="58" t="s">
        <v>52</v>
      </c>
      <c r="E8" s="58" t="s">
        <v>57</v>
      </c>
      <c r="F8" s="30" t="s">
        <v>89</v>
      </c>
      <c r="G8" s="31" t="s">
        <v>96</v>
      </c>
      <c r="H8" s="32" t="s">
        <v>88</v>
      </c>
      <c r="I8" s="33">
        <v>8</v>
      </c>
      <c r="J8" s="33"/>
      <c r="K8" s="33"/>
      <c r="L8" s="33">
        <v>8</v>
      </c>
      <c r="M8" s="33"/>
      <c r="N8" s="33"/>
      <c r="O8" s="34"/>
      <c r="P8" s="34"/>
      <c r="Q8" s="34"/>
      <c r="R8" s="34"/>
      <c r="S8" s="34"/>
      <c r="T8" s="34"/>
      <c r="U8" s="34"/>
      <c r="V8" s="34"/>
      <c r="W8" s="34"/>
    </row>
    <row r="9" spans="1:23" ht="33" customHeight="1" x14ac:dyDescent="0.25">
      <c r="A9" s="26" t="s">
        <v>8</v>
      </c>
      <c r="B9" s="27" t="s">
        <v>55</v>
      </c>
      <c r="C9" s="35" t="s">
        <v>59</v>
      </c>
      <c r="D9" s="58" t="s">
        <v>57</v>
      </c>
      <c r="E9" s="58" t="s">
        <v>57</v>
      </c>
      <c r="F9" s="30" t="s">
        <v>89</v>
      </c>
      <c r="G9" s="31" t="s">
        <v>96</v>
      </c>
      <c r="H9" s="32" t="s">
        <v>88</v>
      </c>
      <c r="I9" s="33">
        <v>6</v>
      </c>
      <c r="J9" s="33"/>
      <c r="K9" s="33"/>
      <c r="L9" s="33"/>
      <c r="M9" s="33">
        <v>6</v>
      </c>
      <c r="N9" s="33"/>
      <c r="O9" s="34"/>
      <c r="P9" s="34"/>
      <c r="Q9" s="34"/>
      <c r="R9" s="34"/>
      <c r="S9" s="34"/>
      <c r="T9" s="34"/>
      <c r="U9" s="34"/>
      <c r="V9" s="34"/>
      <c r="W9" s="34"/>
    </row>
    <row r="10" spans="1:23" ht="33" customHeight="1" x14ac:dyDescent="0.25">
      <c r="A10" s="26" t="s">
        <v>8</v>
      </c>
      <c r="B10" s="58" t="s">
        <v>58</v>
      </c>
      <c r="C10" s="58" t="s">
        <v>61</v>
      </c>
      <c r="D10" s="30" t="s">
        <v>57</v>
      </c>
      <c r="E10" s="31" t="s">
        <v>62</v>
      </c>
      <c r="F10" s="36" t="s">
        <v>89</v>
      </c>
      <c r="G10" s="31" t="s">
        <v>97</v>
      </c>
      <c r="H10" s="32" t="s">
        <v>88</v>
      </c>
      <c r="I10" s="33">
        <v>7</v>
      </c>
      <c r="J10" s="33"/>
      <c r="K10" s="33"/>
      <c r="L10" s="33"/>
      <c r="M10" s="34"/>
      <c r="N10" s="34">
        <v>7</v>
      </c>
      <c r="O10" s="34"/>
      <c r="P10" s="34"/>
      <c r="Q10" s="34"/>
      <c r="R10" s="34"/>
      <c r="S10" s="34"/>
      <c r="T10" s="34"/>
      <c r="U10" s="34"/>
      <c r="V10" s="34"/>
      <c r="W10" s="34"/>
    </row>
    <row r="11" spans="1:23" ht="28.5" customHeight="1" x14ac:dyDescent="0.25">
      <c r="A11" s="26" t="s">
        <v>8</v>
      </c>
      <c r="B11" s="58" t="s">
        <v>60</v>
      </c>
      <c r="C11" s="58" t="s">
        <v>64</v>
      </c>
      <c r="D11" s="36" t="s">
        <v>62</v>
      </c>
      <c r="E11" s="31" t="s">
        <v>62</v>
      </c>
      <c r="F11" s="36" t="s">
        <v>89</v>
      </c>
      <c r="G11" s="31" t="s">
        <v>96</v>
      </c>
      <c r="H11" s="32" t="s">
        <v>88</v>
      </c>
      <c r="I11" s="33">
        <v>5</v>
      </c>
      <c r="J11" s="33"/>
      <c r="K11" s="33"/>
      <c r="L11" s="33"/>
      <c r="M11" s="34"/>
      <c r="N11" s="34"/>
      <c r="O11" s="34">
        <v>5</v>
      </c>
      <c r="P11" s="34"/>
      <c r="Q11" s="34"/>
      <c r="R11" s="34"/>
      <c r="S11" s="34"/>
      <c r="T11" s="34"/>
      <c r="U11" s="34"/>
      <c r="V11" s="34"/>
      <c r="W11" s="34"/>
    </row>
    <row r="12" spans="1:23" ht="29.25" customHeight="1" x14ac:dyDescent="0.25">
      <c r="A12" s="26" t="s">
        <v>8</v>
      </c>
      <c r="B12" s="58" t="s">
        <v>63</v>
      </c>
      <c r="C12" s="58" t="s">
        <v>65</v>
      </c>
      <c r="D12" s="30" t="s">
        <v>62</v>
      </c>
      <c r="E12" s="31" t="s">
        <v>66</v>
      </c>
      <c r="F12" s="36" t="s">
        <v>89</v>
      </c>
      <c r="G12" s="31" t="s">
        <v>98</v>
      </c>
      <c r="H12" s="32" t="s">
        <v>88</v>
      </c>
      <c r="I12" s="34">
        <v>6</v>
      </c>
      <c r="J12" s="34"/>
      <c r="K12" s="34"/>
      <c r="L12" s="34"/>
      <c r="M12" s="34"/>
      <c r="N12" s="34"/>
      <c r="O12" s="34"/>
      <c r="P12" s="34">
        <v>6</v>
      </c>
      <c r="Q12" s="34"/>
      <c r="R12" s="34"/>
      <c r="S12" s="34"/>
      <c r="T12" s="34"/>
      <c r="U12" s="34"/>
      <c r="V12" s="34"/>
      <c r="W12" s="34"/>
    </row>
    <row r="13" spans="1:23" ht="30" customHeight="1" x14ac:dyDescent="0.25">
      <c r="A13" s="26" t="s">
        <v>106</v>
      </c>
      <c r="B13" s="27" t="s">
        <v>107</v>
      </c>
      <c r="C13" s="28" t="s">
        <v>108</v>
      </c>
      <c r="D13" s="58" t="s">
        <v>109</v>
      </c>
      <c r="E13" s="58" t="s">
        <v>109</v>
      </c>
      <c r="F13" s="30" t="s">
        <v>89</v>
      </c>
      <c r="G13" s="31" t="s">
        <v>110</v>
      </c>
      <c r="H13" s="32" t="s">
        <v>88</v>
      </c>
      <c r="I13" s="33">
        <v>4</v>
      </c>
      <c r="J13" s="33">
        <v>4</v>
      </c>
      <c r="K13" s="33"/>
      <c r="L13" s="33"/>
      <c r="M13" s="33"/>
      <c r="N13" s="33"/>
      <c r="O13" s="34"/>
      <c r="P13" s="34"/>
      <c r="Q13" s="34"/>
      <c r="R13" s="34"/>
      <c r="S13" s="34"/>
      <c r="T13" s="34"/>
      <c r="U13" s="34"/>
      <c r="V13" s="34"/>
      <c r="W13" s="34"/>
    </row>
    <row r="14" spans="1:23" ht="29.25" customHeight="1" x14ac:dyDescent="0.25">
      <c r="A14" s="26" t="s">
        <v>106</v>
      </c>
      <c r="B14" s="27" t="s">
        <v>111</v>
      </c>
      <c r="C14" s="28" t="s">
        <v>112</v>
      </c>
      <c r="D14" s="58" t="s">
        <v>113</v>
      </c>
      <c r="E14" s="58" t="s">
        <v>113</v>
      </c>
      <c r="F14" s="30" t="s">
        <v>89</v>
      </c>
      <c r="G14" s="31" t="s">
        <v>96</v>
      </c>
      <c r="H14" s="32" t="s">
        <v>88</v>
      </c>
      <c r="I14" s="33">
        <v>7</v>
      </c>
      <c r="J14" s="33"/>
      <c r="K14" s="33">
        <v>7</v>
      </c>
      <c r="L14" s="33"/>
      <c r="M14" s="33"/>
      <c r="N14" s="33"/>
      <c r="O14" s="34"/>
      <c r="P14" s="34"/>
      <c r="Q14" s="34"/>
      <c r="R14" s="34"/>
      <c r="S14" s="34"/>
      <c r="T14" s="34"/>
      <c r="U14" s="34"/>
      <c r="V14" s="34"/>
      <c r="W14" s="34"/>
    </row>
    <row r="15" spans="1:23" ht="34.5" customHeight="1" x14ac:dyDescent="0.25">
      <c r="A15" s="26" t="s">
        <v>106</v>
      </c>
      <c r="B15" s="27" t="s">
        <v>114</v>
      </c>
      <c r="C15" s="28" t="s">
        <v>115</v>
      </c>
      <c r="D15" s="58" t="s">
        <v>116</v>
      </c>
      <c r="E15" s="58" t="s">
        <v>116</v>
      </c>
      <c r="F15" s="30" t="s">
        <v>89</v>
      </c>
      <c r="G15" s="31" t="s">
        <v>96</v>
      </c>
      <c r="H15" s="32" t="s">
        <v>88</v>
      </c>
      <c r="I15" s="33">
        <v>4</v>
      </c>
      <c r="J15" s="33"/>
      <c r="K15" s="33"/>
      <c r="L15" s="33">
        <v>4</v>
      </c>
      <c r="M15" s="33"/>
      <c r="N15" s="33"/>
      <c r="O15" s="34"/>
      <c r="P15" s="34"/>
      <c r="Q15" s="34"/>
      <c r="R15" s="34"/>
      <c r="S15" s="34"/>
      <c r="T15" s="34"/>
      <c r="U15" s="34"/>
      <c r="V15" s="34"/>
      <c r="W15" s="34"/>
    </row>
    <row r="16" spans="1:23" ht="36.75" customHeight="1" x14ac:dyDescent="0.25">
      <c r="A16" s="26" t="s">
        <v>106</v>
      </c>
      <c r="B16" s="27" t="s">
        <v>117</v>
      </c>
      <c r="C16" s="28" t="s">
        <v>118</v>
      </c>
      <c r="D16" s="58" t="s">
        <v>119</v>
      </c>
      <c r="E16" s="58" t="s">
        <v>119</v>
      </c>
      <c r="F16" s="30" t="s">
        <v>89</v>
      </c>
      <c r="G16" s="31" t="s">
        <v>96</v>
      </c>
      <c r="H16" s="32" t="s">
        <v>88</v>
      </c>
      <c r="I16" s="33">
        <v>5</v>
      </c>
      <c r="J16" s="33"/>
      <c r="K16" s="33"/>
      <c r="L16" s="33"/>
      <c r="M16" s="33">
        <v>5</v>
      </c>
      <c r="N16" s="33"/>
      <c r="O16" s="34"/>
      <c r="P16" s="34"/>
      <c r="Q16" s="34"/>
      <c r="R16" s="34"/>
      <c r="S16" s="34"/>
      <c r="T16" s="34"/>
      <c r="U16" s="34"/>
      <c r="V16" s="34"/>
      <c r="W16" s="34"/>
    </row>
    <row r="17" spans="1:23" ht="34.5" customHeight="1" x14ac:dyDescent="0.25">
      <c r="A17" s="26" t="s">
        <v>120</v>
      </c>
      <c r="B17" s="27" t="s">
        <v>121</v>
      </c>
      <c r="C17" s="28" t="s">
        <v>122</v>
      </c>
      <c r="D17" s="58" t="s">
        <v>123</v>
      </c>
      <c r="E17" s="58" t="s">
        <v>123</v>
      </c>
      <c r="F17" s="30" t="s">
        <v>89</v>
      </c>
      <c r="G17" s="31" t="s">
        <v>96</v>
      </c>
      <c r="H17" s="32" t="s">
        <v>88</v>
      </c>
      <c r="I17" s="33">
        <v>5</v>
      </c>
      <c r="J17" s="33"/>
      <c r="K17" s="33"/>
      <c r="L17" s="33"/>
      <c r="M17" s="33"/>
      <c r="N17" s="33">
        <v>5</v>
      </c>
      <c r="O17" s="34"/>
      <c r="P17" s="34"/>
      <c r="Q17" s="34"/>
      <c r="R17" s="34"/>
      <c r="S17" s="34"/>
      <c r="T17" s="34"/>
      <c r="U17" s="34"/>
      <c r="V17" s="34"/>
      <c r="W17" s="34"/>
    </row>
    <row r="18" spans="1:23" ht="42" customHeight="1" x14ac:dyDescent="0.25">
      <c r="A18" s="26" t="s">
        <v>124</v>
      </c>
      <c r="B18" s="27" t="s">
        <v>125</v>
      </c>
      <c r="C18" s="28" t="s">
        <v>126</v>
      </c>
      <c r="D18" s="58" t="s">
        <v>123</v>
      </c>
      <c r="E18" s="58" t="s">
        <v>123</v>
      </c>
      <c r="F18" s="30" t="s">
        <v>89</v>
      </c>
      <c r="G18" s="31" t="s">
        <v>110</v>
      </c>
      <c r="H18" s="32" t="s">
        <v>88</v>
      </c>
      <c r="I18" s="33">
        <v>3</v>
      </c>
      <c r="J18" s="33"/>
      <c r="K18" s="33"/>
      <c r="L18" s="33"/>
      <c r="M18" s="33"/>
      <c r="N18" s="33"/>
      <c r="O18" s="34">
        <v>3</v>
      </c>
      <c r="P18" s="34"/>
      <c r="Q18" s="34"/>
      <c r="R18" s="34"/>
      <c r="S18" s="34"/>
      <c r="T18" s="34"/>
      <c r="U18" s="34"/>
      <c r="V18" s="34"/>
      <c r="W18" s="34"/>
    </row>
    <row r="19" spans="1:23" ht="39.75" customHeight="1" x14ac:dyDescent="0.25">
      <c r="A19" s="26" t="s">
        <v>124</v>
      </c>
      <c r="B19" s="27" t="s">
        <v>127</v>
      </c>
      <c r="C19" s="28" t="s">
        <v>128</v>
      </c>
      <c r="D19" s="58" t="s">
        <v>129</v>
      </c>
      <c r="E19" s="58" t="s">
        <v>129</v>
      </c>
      <c r="F19" s="30" t="s">
        <v>89</v>
      </c>
      <c r="G19" s="31" t="s">
        <v>96</v>
      </c>
      <c r="H19" s="32" t="s">
        <v>88</v>
      </c>
      <c r="I19" s="33">
        <v>6</v>
      </c>
      <c r="J19" s="33"/>
      <c r="K19" s="33"/>
      <c r="L19" s="33"/>
      <c r="M19" s="33"/>
      <c r="N19" s="33"/>
      <c r="O19" s="34"/>
      <c r="P19" s="34">
        <v>6</v>
      </c>
      <c r="Q19" s="34"/>
      <c r="R19" s="34"/>
      <c r="S19" s="34"/>
      <c r="T19" s="34"/>
      <c r="U19" s="34"/>
      <c r="V19" s="34"/>
      <c r="W19" s="34"/>
    </row>
    <row r="20" spans="1:23" ht="26.25" customHeight="1" x14ac:dyDescent="0.25">
      <c r="A20" s="26" t="s">
        <v>124</v>
      </c>
      <c r="B20" s="27" t="s">
        <v>130</v>
      </c>
      <c r="C20" s="28" t="s">
        <v>131</v>
      </c>
      <c r="D20" s="58" t="s">
        <v>132</v>
      </c>
      <c r="E20" s="58" t="s">
        <v>132</v>
      </c>
      <c r="F20" s="30" t="s">
        <v>89</v>
      </c>
      <c r="G20" s="31" t="s">
        <v>96</v>
      </c>
      <c r="H20" s="32" t="s">
        <v>88</v>
      </c>
      <c r="I20" s="33">
        <v>7</v>
      </c>
      <c r="J20" s="33"/>
      <c r="K20" s="33"/>
      <c r="L20" s="33"/>
      <c r="M20" s="33"/>
      <c r="N20" s="33"/>
      <c r="O20" s="34"/>
      <c r="P20" s="34"/>
      <c r="Q20" s="34">
        <v>7</v>
      </c>
      <c r="R20" s="34"/>
      <c r="S20" s="34"/>
      <c r="T20" s="34"/>
      <c r="U20" s="34"/>
      <c r="V20" s="34"/>
      <c r="W20" s="34"/>
    </row>
    <row r="21" spans="1:23" ht="23.25" customHeight="1" x14ac:dyDescent="0.25">
      <c r="A21" s="26" t="s">
        <v>133</v>
      </c>
      <c r="B21" s="27" t="s">
        <v>134</v>
      </c>
      <c r="C21" s="28" t="s">
        <v>135</v>
      </c>
      <c r="D21" s="58" t="s">
        <v>132</v>
      </c>
      <c r="E21" s="58" t="s">
        <v>132</v>
      </c>
      <c r="F21" s="30" t="s">
        <v>89</v>
      </c>
      <c r="G21" s="31" t="s">
        <v>96</v>
      </c>
      <c r="H21" s="32" t="s">
        <v>88</v>
      </c>
      <c r="I21" s="33">
        <v>4</v>
      </c>
      <c r="J21" s="33"/>
      <c r="K21" s="33"/>
      <c r="L21" s="33"/>
      <c r="M21" s="33"/>
      <c r="N21" s="33"/>
      <c r="O21" s="34"/>
      <c r="P21" s="34"/>
      <c r="Q21" s="34"/>
      <c r="R21" s="34">
        <v>4</v>
      </c>
      <c r="S21" s="34"/>
      <c r="T21" s="34"/>
      <c r="U21" s="34"/>
      <c r="V21" s="34"/>
      <c r="W21" s="34"/>
    </row>
    <row r="22" spans="1:23" ht="24" customHeight="1" x14ac:dyDescent="0.25">
      <c r="A22" s="26" t="s">
        <v>136</v>
      </c>
      <c r="B22" s="27" t="s">
        <v>137</v>
      </c>
      <c r="C22" s="28" t="s">
        <v>138</v>
      </c>
      <c r="D22" s="58" t="s">
        <v>139</v>
      </c>
      <c r="E22" s="58" t="s">
        <v>139</v>
      </c>
      <c r="F22" s="30" t="s">
        <v>89</v>
      </c>
      <c r="G22" s="31" t="s">
        <v>96</v>
      </c>
      <c r="H22" s="32" t="s">
        <v>88</v>
      </c>
      <c r="I22" s="33">
        <v>6</v>
      </c>
      <c r="J22" s="33"/>
      <c r="K22" s="33"/>
      <c r="L22" s="33"/>
      <c r="M22" s="33"/>
      <c r="N22" s="33"/>
      <c r="O22" s="34"/>
      <c r="P22" s="34"/>
      <c r="Q22" s="34"/>
      <c r="R22" s="34"/>
      <c r="S22" s="34">
        <v>6</v>
      </c>
      <c r="T22" s="34"/>
      <c r="U22" s="34"/>
      <c r="V22" s="34"/>
      <c r="W22" s="34"/>
    </row>
    <row r="23" spans="1:23" ht="24" customHeight="1" x14ac:dyDescent="0.25">
      <c r="A23" s="26" t="s">
        <v>140</v>
      </c>
      <c r="B23" s="27" t="s">
        <v>141</v>
      </c>
      <c r="C23" s="28" t="s">
        <v>142</v>
      </c>
      <c r="D23" s="58" t="s">
        <v>139</v>
      </c>
      <c r="E23" s="58" t="s">
        <v>139</v>
      </c>
      <c r="F23" s="30" t="s">
        <v>89</v>
      </c>
      <c r="G23" s="31" t="s">
        <v>97</v>
      </c>
      <c r="H23" s="32" t="s">
        <v>88</v>
      </c>
      <c r="I23" s="33">
        <v>4</v>
      </c>
      <c r="J23" s="33"/>
      <c r="K23" s="33"/>
      <c r="L23" s="33"/>
      <c r="M23" s="33"/>
      <c r="N23" s="33"/>
      <c r="O23" s="34"/>
      <c r="P23" s="34"/>
      <c r="Q23" s="34"/>
      <c r="R23" s="34"/>
      <c r="S23" s="34"/>
      <c r="T23" s="34">
        <v>4</v>
      </c>
      <c r="U23" s="34"/>
      <c r="V23" s="34"/>
      <c r="W23" s="34"/>
    </row>
    <row r="24" spans="1:23" ht="24" customHeight="1" x14ac:dyDescent="0.25">
      <c r="A24" s="26" t="s">
        <v>140</v>
      </c>
      <c r="B24" s="27" t="s">
        <v>143</v>
      </c>
      <c r="C24" s="28" t="s">
        <v>144</v>
      </c>
      <c r="D24" s="58" t="s">
        <v>145</v>
      </c>
      <c r="E24" s="58" t="s">
        <v>145</v>
      </c>
      <c r="F24" s="30" t="s">
        <v>89</v>
      </c>
      <c r="G24" s="31" t="s">
        <v>96</v>
      </c>
      <c r="H24" s="32" t="s">
        <v>88</v>
      </c>
      <c r="I24" s="33">
        <v>6</v>
      </c>
      <c r="J24" s="33"/>
      <c r="K24" s="33"/>
      <c r="L24" s="33"/>
      <c r="M24" s="33"/>
      <c r="N24" s="33"/>
      <c r="O24" s="34"/>
      <c r="P24" s="34"/>
      <c r="Q24" s="34"/>
      <c r="R24" s="34"/>
      <c r="S24" s="34"/>
      <c r="T24" s="34"/>
      <c r="U24" s="34">
        <v>6</v>
      </c>
      <c r="V24" s="34"/>
      <c r="W24" s="34"/>
    </row>
    <row r="25" spans="1:23" ht="24" customHeight="1" x14ac:dyDescent="0.25">
      <c r="A25" s="26" t="s">
        <v>140</v>
      </c>
      <c r="B25" s="27" t="s">
        <v>146</v>
      </c>
      <c r="C25" s="28" t="s">
        <v>147</v>
      </c>
      <c r="D25" s="58" t="s">
        <v>145</v>
      </c>
      <c r="E25" s="58" t="s">
        <v>145</v>
      </c>
      <c r="F25" s="30" t="s">
        <v>89</v>
      </c>
      <c r="G25" s="31" t="s">
        <v>98</v>
      </c>
      <c r="H25" s="32" t="s">
        <v>88</v>
      </c>
      <c r="I25" s="33">
        <v>5</v>
      </c>
      <c r="J25" s="33"/>
      <c r="K25" s="33"/>
      <c r="L25" s="33"/>
      <c r="M25" s="33"/>
      <c r="N25" s="33"/>
      <c r="O25" s="34"/>
      <c r="P25" s="34"/>
      <c r="Q25" s="34"/>
      <c r="R25" s="34"/>
      <c r="S25" s="34"/>
      <c r="T25" s="34"/>
      <c r="U25" s="34"/>
      <c r="V25" s="34">
        <v>5</v>
      </c>
      <c r="W25" s="34"/>
    </row>
    <row r="26" spans="1:23" ht="24" customHeight="1" x14ac:dyDescent="0.25">
      <c r="A26" s="26" t="s">
        <v>148</v>
      </c>
      <c r="B26" s="27" t="s">
        <v>149</v>
      </c>
      <c r="C26" s="28" t="s">
        <v>150</v>
      </c>
      <c r="D26" s="58" t="s">
        <v>151</v>
      </c>
      <c r="E26" s="58" t="s">
        <v>151</v>
      </c>
      <c r="F26" s="30" t="s">
        <v>89</v>
      </c>
      <c r="G26" s="31" t="s">
        <v>152</v>
      </c>
      <c r="H26" s="32" t="s">
        <v>88</v>
      </c>
      <c r="I26" s="33">
        <v>5</v>
      </c>
      <c r="J26" s="33"/>
      <c r="K26" s="33"/>
      <c r="L26" s="33"/>
      <c r="M26" s="33"/>
      <c r="N26" s="33"/>
      <c r="O26" s="34"/>
      <c r="P26" s="34"/>
      <c r="Q26" s="34"/>
      <c r="R26" s="34"/>
      <c r="S26" s="34"/>
      <c r="T26" s="34"/>
      <c r="U26" s="34"/>
      <c r="V26" s="34"/>
      <c r="W26" s="34">
        <v>5</v>
      </c>
    </row>
    <row r="27" spans="1:23" ht="24" customHeight="1" x14ac:dyDescent="0.25">
      <c r="A27" s="26" t="s">
        <v>148</v>
      </c>
      <c r="B27" s="27" t="s">
        <v>153</v>
      </c>
      <c r="C27" s="28" t="s">
        <v>154</v>
      </c>
      <c r="D27" s="58" t="s">
        <v>151</v>
      </c>
      <c r="E27" s="58" t="s">
        <v>151</v>
      </c>
      <c r="F27" s="30" t="s">
        <v>89</v>
      </c>
      <c r="G27" s="31" t="s">
        <v>152</v>
      </c>
      <c r="H27" s="32" t="s">
        <v>88</v>
      </c>
      <c r="I27" s="33">
        <v>6</v>
      </c>
      <c r="J27" s="33"/>
      <c r="K27" s="33"/>
      <c r="L27" s="33"/>
      <c r="M27" s="33"/>
      <c r="N27" s="33"/>
      <c r="O27" s="34"/>
      <c r="P27" s="34"/>
      <c r="Q27" s="34"/>
      <c r="R27" s="34"/>
      <c r="S27" s="34"/>
      <c r="T27" s="34"/>
      <c r="U27" s="34"/>
      <c r="V27" s="34"/>
      <c r="W27" s="34">
        <v>6</v>
      </c>
    </row>
    <row r="28" spans="1:23" ht="29.25" customHeight="1" x14ac:dyDescent="0.25">
      <c r="A28" s="26" t="s">
        <v>180</v>
      </c>
      <c r="B28" s="27" t="s">
        <v>198</v>
      </c>
      <c r="C28" s="35" t="s">
        <v>189</v>
      </c>
      <c r="D28" s="58" t="s">
        <v>214</v>
      </c>
      <c r="E28" s="58" t="s">
        <v>214</v>
      </c>
      <c r="F28" s="30" t="s">
        <v>89</v>
      </c>
      <c r="G28" s="31" t="s">
        <v>96</v>
      </c>
      <c r="H28" s="32" t="s">
        <v>88</v>
      </c>
      <c r="I28" s="33">
        <v>6</v>
      </c>
      <c r="J28" s="34"/>
      <c r="K28" s="34"/>
      <c r="L28" s="34"/>
      <c r="M28" s="34"/>
      <c r="N28" s="34"/>
      <c r="O28" s="34"/>
      <c r="P28" s="34"/>
      <c r="Q28" s="34"/>
      <c r="R28" s="34"/>
      <c r="S28" s="34"/>
      <c r="T28" s="34"/>
      <c r="U28" s="34"/>
      <c r="V28" s="34"/>
      <c r="W28" s="34"/>
    </row>
    <row r="29" spans="1:23" ht="20.25" customHeight="1" x14ac:dyDescent="0.25">
      <c r="A29" s="26" t="s">
        <v>187</v>
      </c>
      <c r="B29" s="27" t="s">
        <v>199</v>
      </c>
      <c r="C29" s="35" t="s">
        <v>190</v>
      </c>
      <c r="D29" s="58" t="s">
        <v>214</v>
      </c>
      <c r="E29" s="58" t="s">
        <v>215</v>
      </c>
      <c r="F29" s="30" t="s">
        <v>89</v>
      </c>
      <c r="G29" s="31" t="s">
        <v>97</v>
      </c>
      <c r="H29" s="32" t="s">
        <v>88</v>
      </c>
      <c r="I29" s="33">
        <v>5</v>
      </c>
      <c r="J29" s="34"/>
      <c r="K29" s="34"/>
      <c r="L29" s="34"/>
      <c r="M29" s="34"/>
      <c r="N29" s="34"/>
      <c r="O29" s="34"/>
      <c r="P29" s="34"/>
      <c r="Q29" s="34"/>
      <c r="R29" s="34"/>
      <c r="S29" s="34"/>
      <c r="T29" s="34"/>
      <c r="U29" s="34"/>
      <c r="V29" s="34"/>
      <c r="W29" s="34"/>
    </row>
    <row r="30" spans="1:23" ht="20.25" customHeight="1" x14ac:dyDescent="0.25">
      <c r="A30" s="26" t="s">
        <v>180</v>
      </c>
      <c r="B30" s="27" t="s">
        <v>200</v>
      </c>
      <c r="C30" s="35" t="s">
        <v>191</v>
      </c>
      <c r="D30" s="58" t="s">
        <v>215</v>
      </c>
      <c r="E30" s="58" t="s">
        <v>215</v>
      </c>
      <c r="F30" s="30" t="s">
        <v>89</v>
      </c>
      <c r="G30" s="31" t="s">
        <v>96</v>
      </c>
      <c r="H30" s="32" t="s">
        <v>88</v>
      </c>
      <c r="I30" s="33">
        <v>7</v>
      </c>
      <c r="J30" s="34"/>
      <c r="K30" s="34"/>
      <c r="L30" s="34"/>
      <c r="M30" s="34"/>
      <c r="N30" s="34"/>
      <c r="O30" s="34"/>
      <c r="P30" s="34"/>
      <c r="Q30" s="34"/>
      <c r="R30" s="34"/>
      <c r="S30" s="34"/>
      <c r="T30" s="34"/>
      <c r="U30" s="34"/>
      <c r="V30" s="34"/>
      <c r="W30" s="34"/>
    </row>
    <row r="31" spans="1:23" ht="20.25" customHeight="1" x14ac:dyDescent="0.25">
      <c r="A31" s="26" t="s">
        <v>181</v>
      </c>
      <c r="B31" s="27" t="s">
        <v>201</v>
      </c>
      <c r="C31" s="35" t="s">
        <v>211</v>
      </c>
      <c r="D31" s="58" t="s">
        <v>215</v>
      </c>
      <c r="E31" s="58" t="s">
        <v>216</v>
      </c>
      <c r="F31" s="30" t="s">
        <v>89</v>
      </c>
      <c r="G31" s="31" t="s">
        <v>96</v>
      </c>
      <c r="H31" s="32" t="s">
        <v>88</v>
      </c>
      <c r="I31" s="33">
        <v>6</v>
      </c>
      <c r="J31" s="34"/>
      <c r="K31" s="34"/>
      <c r="L31" s="34"/>
      <c r="M31" s="34"/>
      <c r="N31" s="34"/>
      <c r="O31" s="34"/>
      <c r="P31" s="34"/>
      <c r="Q31" s="34"/>
      <c r="R31" s="34"/>
      <c r="S31" s="34"/>
      <c r="T31" s="34"/>
      <c r="U31" s="34"/>
      <c r="V31" s="34"/>
      <c r="W31" s="34"/>
    </row>
    <row r="32" spans="1:23" ht="20.25" customHeight="1" x14ac:dyDescent="0.25">
      <c r="A32" s="26" t="s">
        <v>182</v>
      </c>
      <c r="B32" s="27" t="s">
        <v>202</v>
      </c>
      <c r="C32" s="35" t="s">
        <v>192</v>
      </c>
      <c r="D32" s="58" t="s">
        <v>216</v>
      </c>
      <c r="E32" s="58" t="s">
        <v>216</v>
      </c>
      <c r="F32" s="30" t="s">
        <v>89</v>
      </c>
      <c r="G32" s="31" t="s">
        <v>96</v>
      </c>
      <c r="H32" s="32" t="s">
        <v>88</v>
      </c>
      <c r="I32" s="33">
        <v>6</v>
      </c>
      <c r="J32" s="34"/>
      <c r="K32" s="34"/>
      <c r="L32" s="34"/>
      <c r="M32" s="34"/>
      <c r="N32" s="34"/>
      <c r="O32" s="34"/>
      <c r="P32" s="34"/>
      <c r="Q32" s="34"/>
      <c r="R32" s="34"/>
      <c r="S32" s="34"/>
      <c r="T32" s="34"/>
      <c r="U32" s="34"/>
      <c r="V32" s="34"/>
      <c r="W32" s="34"/>
    </row>
    <row r="33" spans="1:23" ht="20.25" customHeight="1" x14ac:dyDescent="0.25">
      <c r="A33" s="26" t="s">
        <v>183</v>
      </c>
      <c r="B33" s="27" t="s">
        <v>203</v>
      </c>
      <c r="C33" s="35" t="s">
        <v>193</v>
      </c>
      <c r="D33" s="58" t="s">
        <v>216</v>
      </c>
      <c r="E33" s="58" t="s">
        <v>217</v>
      </c>
      <c r="F33" s="30" t="s">
        <v>89</v>
      </c>
      <c r="G33" s="31" t="s">
        <v>96</v>
      </c>
      <c r="H33" s="32" t="s">
        <v>88</v>
      </c>
      <c r="I33" s="33">
        <v>4</v>
      </c>
      <c r="J33" s="34"/>
      <c r="K33" s="34"/>
      <c r="L33" s="34"/>
      <c r="M33" s="34"/>
      <c r="N33" s="34"/>
      <c r="O33" s="34"/>
      <c r="P33" s="34"/>
      <c r="Q33" s="34"/>
      <c r="R33" s="34"/>
      <c r="S33" s="34"/>
      <c r="T33" s="34"/>
      <c r="U33" s="34"/>
      <c r="V33" s="34"/>
      <c r="W33" s="34"/>
    </row>
    <row r="34" spans="1:23" ht="14.25" customHeight="1" x14ac:dyDescent="0.25">
      <c r="A34" s="26" t="s">
        <v>184</v>
      </c>
      <c r="B34" s="27" t="s">
        <v>204</v>
      </c>
      <c r="C34" s="35" t="s">
        <v>194</v>
      </c>
      <c r="D34" s="58" t="s">
        <v>217</v>
      </c>
      <c r="E34" s="58" t="s">
        <v>217</v>
      </c>
      <c r="F34" s="30" t="s">
        <v>89</v>
      </c>
      <c r="G34" s="31" t="s">
        <v>96</v>
      </c>
      <c r="H34" s="32" t="s">
        <v>88</v>
      </c>
      <c r="I34" s="33">
        <v>7</v>
      </c>
      <c r="J34" s="34"/>
      <c r="K34" s="34"/>
      <c r="L34" s="34"/>
      <c r="M34" s="34"/>
      <c r="N34" s="34"/>
      <c r="O34" s="34"/>
      <c r="P34" s="34"/>
      <c r="Q34" s="34"/>
      <c r="R34" s="34"/>
      <c r="S34" s="34"/>
      <c r="T34" s="34"/>
      <c r="U34" s="34"/>
      <c r="V34" s="34"/>
      <c r="W34" s="34"/>
    </row>
    <row r="35" spans="1:23" ht="21" customHeight="1" x14ac:dyDescent="0.25">
      <c r="A35" s="26" t="s">
        <v>185</v>
      </c>
      <c r="B35" s="27" t="s">
        <v>205</v>
      </c>
      <c r="C35" s="35" t="s">
        <v>195</v>
      </c>
      <c r="D35" s="58" t="s">
        <v>217</v>
      </c>
      <c r="E35" s="58" t="s">
        <v>218</v>
      </c>
      <c r="F35" s="30" t="s">
        <v>89</v>
      </c>
      <c r="G35" s="31" t="s">
        <v>96</v>
      </c>
      <c r="H35" s="32" t="s">
        <v>88</v>
      </c>
      <c r="I35" s="33">
        <v>5</v>
      </c>
      <c r="J35" s="34"/>
      <c r="K35" s="34"/>
      <c r="L35" s="34"/>
      <c r="M35" s="34"/>
      <c r="N35" s="34"/>
      <c r="O35" s="34"/>
      <c r="P35" s="34"/>
      <c r="Q35" s="34"/>
      <c r="R35" s="34"/>
      <c r="S35" s="34"/>
      <c r="T35" s="34"/>
      <c r="U35" s="34"/>
      <c r="V35" s="34"/>
      <c r="W35" s="34"/>
    </row>
    <row r="36" spans="1:23" ht="21.75" customHeight="1" x14ac:dyDescent="0.25">
      <c r="A36" s="26" t="s">
        <v>186</v>
      </c>
      <c r="B36" s="27" t="s">
        <v>206</v>
      </c>
      <c r="C36" s="35" t="s">
        <v>196</v>
      </c>
      <c r="D36" s="58" t="s">
        <v>218</v>
      </c>
      <c r="E36" s="58" t="s">
        <v>218</v>
      </c>
      <c r="F36" s="30" t="s">
        <v>89</v>
      </c>
      <c r="G36" s="31" t="s">
        <v>96</v>
      </c>
      <c r="H36" s="32" t="s">
        <v>88</v>
      </c>
      <c r="I36" s="33">
        <v>6</v>
      </c>
      <c r="J36" s="34"/>
      <c r="K36" s="34"/>
      <c r="L36" s="34"/>
      <c r="M36" s="34"/>
      <c r="N36" s="34"/>
      <c r="O36" s="34"/>
      <c r="P36" s="34"/>
      <c r="Q36" s="34"/>
      <c r="R36" s="34"/>
      <c r="S36" s="34"/>
      <c r="T36" s="34"/>
      <c r="U36" s="34"/>
      <c r="V36" s="34"/>
      <c r="W36" s="34"/>
    </row>
    <row r="37" spans="1:23" ht="21.75" customHeight="1" x14ac:dyDescent="0.25">
      <c r="A37" s="26" t="s">
        <v>186</v>
      </c>
      <c r="B37" s="27" t="s">
        <v>207</v>
      </c>
      <c r="C37" s="35" t="s">
        <v>213</v>
      </c>
      <c r="D37" s="58" t="s">
        <v>218</v>
      </c>
      <c r="E37" s="58" t="s">
        <v>219</v>
      </c>
      <c r="F37" s="30" t="s">
        <v>89</v>
      </c>
      <c r="G37" s="31" t="s">
        <v>95</v>
      </c>
      <c r="H37" s="32" t="s">
        <v>88</v>
      </c>
      <c r="I37" s="33">
        <v>5</v>
      </c>
      <c r="J37" s="34"/>
      <c r="K37" s="34"/>
      <c r="L37" s="34"/>
      <c r="M37" s="34"/>
      <c r="N37" s="34"/>
      <c r="O37" s="34"/>
      <c r="P37" s="34"/>
      <c r="Q37" s="34"/>
      <c r="R37" s="34"/>
      <c r="S37" s="34"/>
      <c r="T37" s="34"/>
      <c r="U37" s="34"/>
      <c r="V37" s="34"/>
      <c r="W37" s="34"/>
    </row>
    <row r="38" spans="1:23" ht="21.75" customHeight="1" x14ac:dyDescent="0.25">
      <c r="A38" s="26" t="s">
        <v>186</v>
      </c>
      <c r="B38" s="27" t="s">
        <v>208</v>
      </c>
      <c r="C38" s="35" t="s">
        <v>197</v>
      </c>
      <c r="D38" s="58" t="s">
        <v>219</v>
      </c>
      <c r="E38" s="58" t="s">
        <v>219</v>
      </c>
      <c r="F38" s="30" t="s">
        <v>89</v>
      </c>
      <c r="G38" s="31" t="s">
        <v>98</v>
      </c>
      <c r="H38" s="32" t="s">
        <v>88</v>
      </c>
      <c r="I38" s="33">
        <v>6</v>
      </c>
      <c r="J38" s="34"/>
      <c r="K38" s="34"/>
      <c r="L38" s="34"/>
      <c r="M38" s="34"/>
      <c r="N38" s="34"/>
      <c r="O38" s="34"/>
      <c r="P38" s="34"/>
      <c r="Q38" s="34"/>
      <c r="R38" s="34"/>
      <c r="S38" s="34"/>
      <c r="T38" s="34"/>
      <c r="U38" s="34"/>
      <c r="V38" s="34"/>
      <c r="W38" s="34"/>
    </row>
    <row r="39" spans="1:23" ht="21.75" customHeight="1" x14ac:dyDescent="0.25">
      <c r="A39" s="26" t="s">
        <v>186</v>
      </c>
      <c r="B39" s="27" t="s">
        <v>209</v>
      </c>
      <c r="C39" s="35" t="s">
        <v>222</v>
      </c>
      <c r="D39" s="58" t="s">
        <v>219</v>
      </c>
      <c r="E39" s="58" t="s">
        <v>220</v>
      </c>
      <c r="F39" s="30" t="s">
        <v>89</v>
      </c>
      <c r="G39" s="31" t="s">
        <v>98</v>
      </c>
      <c r="H39" s="32" t="s">
        <v>88</v>
      </c>
      <c r="I39" s="33">
        <v>5</v>
      </c>
      <c r="J39" s="34"/>
      <c r="K39" s="34"/>
      <c r="L39" s="34"/>
      <c r="M39" s="34"/>
      <c r="N39" s="34"/>
      <c r="O39" s="34"/>
      <c r="P39" s="34"/>
      <c r="Q39" s="34"/>
      <c r="R39" s="34"/>
      <c r="S39" s="34"/>
      <c r="T39" s="34"/>
      <c r="U39" s="34"/>
      <c r="V39" s="34"/>
      <c r="W39" s="34"/>
    </row>
    <row r="40" spans="1:23" ht="21.75" customHeight="1" x14ac:dyDescent="0.25">
      <c r="A40" s="26" t="s">
        <v>186</v>
      </c>
      <c r="B40" s="27" t="s">
        <v>210</v>
      </c>
      <c r="C40" s="35" t="s">
        <v>212</v>
      </c>
      <c r="D40" s="58" t="s">
        <v>220</v>
      </c>
      <c r="E40" s="58" t="s">
        <v>221</v>
      </c>
      <c r="F40" s="30" t="s">
        <v>89</v>
      </c>
      <c r="G40" s="31" t="s">
        <v>98</v>
      </c>
      <c r="H40" s="32" t="s">
        <v>88</v>
      </c>
      <c r="I40" s="33">
        <v>4</v>
      </c>
      <c r="J40" s="34"/>
      <c r="K40" s="34"/>
      <c r="L40" s="34"/>
      <c r="M40" s="34"/>
      <c r="N40" s="34"/>
      <c r="O40" s="34"/>
      <c r="P40" s="34"/>
      <c r="Q40" s="34"/>
      <c r="R40" s="34"/>
      <c r="S40" s="34"/>
      <c r="T40" s="34"/>
      <c r="U40" s="34"/>
      <c r="V40" s="34"/>
      <c r="W40" s="34"/>
    </row>
    <row r="41" spans="1:23" ht="21" customHeight="1" x14ac:dyDescent="0.25">
      <c r="A41" s="26"/>
      <c r="B41" s="27"/>
      <c r="C41" s="35" t="s">
        <v>67</v>
      </c>
      <c r="D41" s="58"/>
      <c r="E41" s="58"/>
      <c r="F41" s="30"/>
      <c r="G41" s="31"/>
      <c r="H41" s="32"/>
      <c r="I41" s="33"/>
      <c r="J41" s="34"/>
      <c r="K41" s="34"/>
      <c r="L41" s="34"/>
      <c r="M41" s="34"/>
      <c r="N41" s="34"/>
      <c r="O41" s="34"/>
      <c r="P41" s="34"/>
      <c r="Q41" s="34"/>
      <c r="R41" s="34"/>
      <c r="S41" s="34"/>
      <c r="T41" s="34"/>
      <c r="U41" s="34"/>
      <c r="V41" s="34"/>
      <c r="W41" s="34"/>
    </row>
    <row r="42" spans="1:23" ht="19.5" customHeight="1" x14ac:dyDescent="0.25">
      <c r="A42" s="26"/>
      <c r="B42" s="27"/>
      <c r="C42" s="35" t="s">
        <v>67</v>
      </c>
      <c r="D42" s="58"/>
      <c r="E42" s="58"/>
      <c r="F42" s="30"/>
      <c r="G42" s="31"/>
      <c r="H42" s="32"/>
      <c r="I42" s="33"/>
      <c r="J42" s="34"/>
      <c r="K42" s="34"/>
      <c r="L42" s="34"/>
      <c r="M42" s="34"/>
      <c r="N42" s="34"/>
      <c r="O42" s="34"/>
      <c r="P42" s="34"/>
      <c r="Q42" s="34"/>
      <c r="R42" s="34"/>
      <c r="S42" s="34"/>
      <c r="T42" s="34"/>
      <c r="U42" s="34"/>
      <c r="V42" s="34"/>
      <c r="W42" s="34"/>
    </row>
    <row r="43" spans="1:23" ht="17.25" customHeight="1" x14ac:dyDescent="0.25">
      <c r="A43" s="26"/>
      <c r="B43" s="27"/>
      <c r="C43" s="35" t="s">
        <v>67</v>
      </c>
      <c r="D43" s="58"/>
      <c r="E43" s="58"/>
      <c r="F43" s="30"/>
      <c r="G43" s="31"/>
      <c r="H43" s="32"/>
      <c r="I43" s="33"/>
      <c r="J43" s="34"/>
      <c r="K43" s="34"/>
      <c r="L43" s="34"/>
      <c r="M43" s="34"/>
      <c r="N43" s="34"/>
      <c r="O43" s="34"/>
      <c r="P43" s="34"/>
      <c r="Q43" s="34"/>
      <c r="R43" s="34"/>
      <c r="S43" s="34"/>
      <c r="T43" s="34"/>
      <c r="U43" s="34"/>
      <c r="V43" s="34"/>
      <c r="W43" s="34"/>
    </row>
    <row r="44" spans="1:23" ht="17.25" customHeight="1" x14ac:dyDescent="0.25">
      <c r="A44" s="26"/>
      <c r="B44" s="27"/>
      <c r="C44" s="35"/>
      <c r="D44" s="58"/>
      <c r="E44" s="58"/>
      <c r="F44" s="30"/>
      <c r="G44" s="31"/>
      <c r="H44" s="32"/>
      <c r="I44" s="33"/>
      <c r="J44" s="34"/>
      <c r="K44" s="34"/>
      <c r="L44" s="34"/>
      <c r="M44" s="34"/>
      <c r="N44" s="34"/>
      <c r="O44" s="34"/>
      <c r="P44" s="34"/>
      <c r="Q44" s="34"/>
      <c r="R44" s="34"/>
      <c r="S44" s="34"/>
      <c r="T44" s="34"/>
      <c r="U44" s="34"/>
      <c r="V44" s="34"/>
      <c r="W44" s="34"/>
    </row>
    <row r="45" spans="1:23" ht="17.25" customHeight="1" x14ac:dyDescent="0.25">
      <c r="A45" s="26"/>
      <c r="B45" s="27"/>
      <c r="C45" s="35"/>
      <c r="D45" s="58"/>
      <c r="E45" s="58"/>
      <c r="F45" s="30"/>
      <c r="G45" s="31"/>
      <c r="H45" s="32"/>
      <c r="I45" s="33"/>
      <c r="J45" s="34"/>
      <c r="K45" s="34"/>
      <c r="L45" s="34"/>
      <c r="M45" s="34"/>
      <c r="N45" s="34"/>
      <c r="O45" s="34"/>
      <c r="P45" s="34"/>
      <c r="Q45" s="34"/>
      <c r="R45" s="34"/>
      <c r="S45" s="34"/>
      <c r="T45" s="34"/>
      <c r="U45" s="34"/>
      <c r="V45" s="34"/>
      <c r="W45" s="34"/>
    </row>
    <row r="46" spans="1:23" ht="17.25" customHeight="1" x14ac:dyDescent="0.25">
      <c r="A46" s="26"/>
      <c r="B46" s="27"/>
      <c r="C46" s="35"/>
      <c r="D46" s="58"/>
      <c r="E46" s="58"/>
      <c r="F46" s="30"/>
      <c r="G46" s="31"/>
      <c r="H46" s="32"/>
      <c r="I46" s="33"/>
      <c r="J46" s="34"/>
      <c r="K46" s="34"/>
      <c r="L46" s="34"/>
      <c r="M46" s="34"/>
      <c r="N46" s="34"/>
      <c r="O46" s="34"/>
      <c r="P46" s="34"/>
      <c r="Q46" s="34"/>
      <c r="R46" s="34"/>
      <c r="S46" s="34"/>
      <c r="T46" s="34"/>
      <c r="U46" s="34"/>
      <c r="V46" s="34"/>
      <c r="W46" s="34"/>
    </row>
    <row r="47" spans="1:23" ht="17.25" customHeight="1" x14ac:dyDescent="0.25">
      <c r="A47" s="26"/>
      <c r="B47" s="27"/>
      <c r="C47" s="35"/>
      <c r="D47" s="58"/>
      <c r="E47" s="58"/>
      <c r="F47" s="30"/>
      <c r="G47" s="31"/>
      <c r="H47" s="32"/>
      <c r="I47" s="33"/>
      <c r="J47" s="34"/>
      <c r="K47" s="34"/>
      <c r="L47" s="34"/>
      <c r="M47" s="34"/>
      <c r="N47" s="34"/>
      <c r="O47" s="34"/>
      <c r="P47" s="34"/>
      <c r="Q47" s="34"/>
      <c r="R47" s="34"/>
      <c r="S47" s="34"/>
      <c r="T47" s="34"/>
      <c r="U47" s="34"/>
      <c r="V47" s="34"/>
      <c r="W47" s="34"/>
    </row>
    <row r="48" spans="1:23" ht="15.75" customHeight="1" x14ac:dyDescent="0.25">
      <c r="A48" s="26"/>
      <c r="B48" s="27"/>
      <c r="C48" s="35" t="s">
        <v>67</v>
      </c>
      <c r="D48" s="58"/>
      <c r="E48" s="58"/>
      <c r="F48" s="30"/>
      <c r="G48" s="31"/>
      <c r="H48" s="32"/>
      <c r="I48" s="33"/>
      <c r="J48" s="34"/>
      <c r="K48" s="34"/>
      <c r="L48" s="34"/>
      <c r="M48" s="34"/>
      <c r="N48" s="34"/>
      <c r="O48" s="34"/>
      <c r="P48" s="34"/>
      <c r="Q48" s="34"/>
      <c r="R48" s="34"/>
      <c r="S48" s="34"/>
      <c r="T48" s="34"/>
      <c r="U48" s="34"/>
      <c r="V48" s="34"/>
      <c r="W48" s="34"/>
    </row>
    <row r="49" spans="1:23" ht="18.75" customHeight="1" x14ac:dyDescent="0.25">
      <c r="A49" s="26"/>
      <c r="B49" s="27"/>
      <c r="C49" s="35" t="s">
        <v>67</v>
      </c>
      <c r="D49" s="58"/>
      <c r="E49" s="58"/>
      <c r="F49" s="30"/>
      <c r="G49" s="31"/>
      <c r="H49" s="32"/>
      <c r="I49" s="33"/>
      <c r="J49" s="34"/>
      <c r="K49" s="34"/>
      <c r="L49" s="34"/>
      <c r="M49" s="34"/>
      <c r="N49" s="34"/>
      <c r="O49" s="34"/>
      <c r="P49" s="34"/>
      <c r="Q49" s="34"/>
      <c r="R49" s="34"/>
      <c r="S49" s="34"/>
      <c r="T49" s="34"/>
      <c r="U49" s="34"/>
      <c r="V49" s="34"/>
      <c r="W49" s="34"/>
    </row>
    <row r="50" spans="1:23" ht="19.5" customHeight="1" x14ac:dyDescent="0.25">
      <c r="A50" s="26"/>
      <c r="B50" s="27"/>
      <c r="C50" s="35" t="s">
        <v>67</v>
      </c>
      <c r="D50" s="58"/>
      <c r="E50" s="58"/>
      <c r="F50" s="30"/>
      <c r="G50" s="31"/>
      <c r="H50" s="32"/>
      <c r="I50" s="33"/>
      <c r="J50" s="34"/>
      <c r="K50" s="34"/>
      <c r="L50" s="34"/>
      <c r="M50" s="34"/>
      <c r="N50" s="34"/>
      <c r="O50" s="34"/>
      <c r="P50" s="34"/>
      <c r="Q50" s="34"/>
      <c r="R50" s="34"/>
      <c r="S50" s="34"/>
      <c r="T50" s="34"/>
      <c r="U50" s="34"/>
      <c r="V50" s="34"/>
      <c r="W50" s="34"/>
    </row>
    <row r="51" spans="1:23" ht="19.5" customHeight="1" x14ac:dyDescent="0.25">
      <c r="A51" s="26"/>
      <c r="B51" s="27"/>
      <c r="C51" s="35"/>
      <c r="D51" s="58"/>
      <c r="E51" s="58"/>
      <c r="F51" s="30"/>
      <c r="G51" s="31"/>
      <c r="H51" s="32"/>
      <c r="I51" s="33"/>
      <c r="J51" s="34"/>
      <c r="K51" s="34"/>
      <c r="L51" s="34"/>
      <c r="M51" s="34"/>
      <c r="N51" s="34"/>
      <c r="O51" s="34"/>
      <c r="P51" s="34"/>
      <c r="Q51" s="34"/>
      <c r="R51" s="34"/>
      <c r="S51" s="34"/>
      <c r="T51" s="34"/>
      <c r="U51" s="34"/>
      <c r="V51" s="34"/>
      <c r="W51" s="34"/>
    </row>
    <row r="52" spans="1:23" ht="19.5" customHeight="1" x14ac:dyDescent="0.25">
      <c r="A52" s="26"/>
      <c r="B52" s="27"/>
      <c r="C52" s="35"/>
      <c r="D52" s="58"/>
      <c r="E52" s="58"/>
      <c r="F52" s="30"/>
      <c r="G52" s="31"/>
      <c r="H52" s="32"/>
      <c r="I52" s="33"/>
      <c r="J52" s="34"/>
      <c r="K52" s="34"/>
      <c r="L52" s="34"/>
      <c r="M52" s="34"/>
      <c r="N52" s="34"/>
      <c r="O52" s="34"/>
      <c r="P52" s="34"/>
      <c r="Q52" s="34"/>
      <c r="R52" s="34"/>
      <c r="S52" s="34"/>
      <c r="T52" s="34"/>
      <c r="U52" s="34"/>
      <c r="V52" s="34"/>
      <c r="W52" s="34"/>
    </row>
    <row r="53" spans="1:23" ht="19.5" customHeight="1" x14ac:dyDescent="0.25">
      <c r="A53" s="26"/>
      <c r="B53" s="27"/>
      <c r="C53" s="35"/>
      <c r="D53" s="29"/>
      <c r="E53" s="29"/>
      <c r="F53" s="30"/>
      <c r="G53" s="31"/>
      <c r="H53" s="32"/>
      <c r="I53" s="33"/>
      <c r="J53" s="34"/>
      <c r="K53" s="34"/>
      <c r="L53" s="34"/>
      <c r="M53" s="34"/>
      <c r="N53" s="34"/>
      <c r="O53" s="34"/>
      <c r="P53" s="34"/>
      <c r="Q53" s="34"/>
      <c r="R53" s="34"/>
      <c r="S53" s="34"/>
      <c r="T53" s="34"/>
      <c r="U53" s="34"/>
      <c r="V53" s="34"/>
      <c r="W53" s="34"/>
    </row>
    <row r="54" spans="1:23" ht="19.5" customHeight="1" x14ac:dyDescent="0.25">
      <c r="A54" s="26"/>
      <c r="B54" s="27"/>
      <c r="C54" s="35"/>
      <c r="D54" s="29"/>
      <c r="E54" s="29"/>
      <c r="F54" s="30"/>
      <c r="G54" s="31"/>
      <c r="H54" s="32"/>
      <c r="I54" s="33"/>
      <c r="J54" s="34"/>
      <c r="K54" s="34"/>
      <c r="L54" s="34"/>
      <c r="M54" s="34"/>
      <c r="N54" s="34"/>
      <c r="O54" s="34"/>
      <c r="P54" s="34"/>
      <c r="Q54" s="34"/>
      <c r="R54" s="34"/>
      <c r="S54" s="34"/>
      <c r="T54" s="34"/>
      <c r="U54" s="34"/>
      <c r="V54" s="34"/>
      <c r="W54" s="34"/>
    </row>
    <row r="55" spans="1:23" ht="20.25" customHeight="1" x14ac:dyDescent="0.25">
      <c r="A55" s="26"/>
      <c r="B55" s="27"/>
      <c r="C55" s="35" t="s">
        <v>67</v>
      </c>
      <c r="D55" s="29"/>
      <c r="E55" s="29"/>
      <c r="F55" s="30"/>
      <c r="G55" s="31"/>
      <c r="H55" s="32"/>
      <c r="I55" s="33"/>
      <c r="J55" s="34"/>
      <c r="K55" s="34"/>
      <c r="L55" s="34"/>
      <c r="M55" s="34"/>
      <c r="N55" s="34"/>
      <c r="O55" s="34"/>
      <c r="P55" s="34"/>
      <c r="Q55" s="34"/>
      <c r="R55" s="34"/>
      <c r="S55" s="34"/>
      <c r="T55" s="34"/>
      <c r="U55" s="34"/>
      <c r="V55" s="34"/>
      <c r="W55" s="34"/>
    </row>
    <row r="56" spans="1:23" ht="18" customHeight="1" x14ac:dyDescent="0.25">
      <c r="A56" s="26"/>
      <c r="B56" s="27"/>
      <c r="C56" s="35" t="s">
        <v>67</v>
      </c>
      <c r="D56" s="29"/>
      <c r="E56" s="29"/>
      <c r="F56" s="30"/>
      <c r="G56" s="31"/>
      <c r="H56" s="32"/>
      <c r="I56" s="33"/>
      <c r="J56" s="34"/>
      <c r="K56" s="34"/>
      <c r="L56" s="34"/>
      <c r="M56" s="34"/>
      <c r="N56" s="34"/>
      <c r="O56" s="34"/>
      <c r="P56" s="34"/>
      <c r="Q56" s="34"/>
      <c r="R56" s="34"/>
      <c r="S56" s="34"/>
      <c r="T56" s="34"/>
      <c r="U56" s="34"/>
      <c r="V56" s="34"/>
      <c r="W56" s="34"/>
    </row>
    <row r="57" spans="1:23" ht="17.25" customHeight="1" x14ac:dyDescent="0.25">
      <c r="A57" s="26"/>
      <c r="B57" s="27"/>
      <c r="C57" s="35" t="s">
        <v>67</v>
      </c>
      <c r="D57" s="29"/>
      <c r="E57" s="29"/>
      <c r="F57" s="30"/>
      <c r="G57" s="31"/>
      <c r="H57" s="32"/>
      <c r="I57" s="33"/>
      <c r="J57" s="34"/>
      <c r="K57" s="34"/>
      <c r="L57" s="34"/>
      <c r="M57" s="34"/>
      <c r="N57" s="34"/>
      <c r="O57" s="34"/>
      <c r="P57" s="34"/>
      <c r="Q57" s="34"/>
      <c r="R57" s="34"/>
      <c r="S57" s="34"/>
      <c r="T57" s="34"/>
      <c r="U57" s="34"/>
      <c r="V57" s="34"/>
      <c r="W57" s="34"/>
    </row>
    <row r="58" spans="1:23" ht="17.25" customHeight="1" x14ac:dyDescent="0.25">
      <c r="A58" s="26"/>
      <c r="B58" s="27"/>
      <c r="C58" s="35"/>
      <c r="D58" s="29"/>
      <c r="E58" s="29"/>
      <c r="F58" s="30"/>
      <c r="G58" s="31"/>
      <c r="H58" s="32"/>
      <c r="I58" s="33"/>
      <c r="J58" s="34"/>
      <c r="K58" s="34"/>
      <c r="L58" s="34"/>
      <c r="M58" s="34"/>
      <c r="N58" s="34"/>
      <c r="O58" s="34"/>
      <c r="P58" s="34"/>
      <c r="Q58" s="34"/>
      <c r="R58" s="34"/>
      <c r="S58" s="34"/>
      <c r="T58" s="34"/>
      <c r="U58" s="34"/>
      <c r="V58" s="34"/>
      <c r="W58" s="34"/>
    </row>
    <row r="59" spans="1:23" ht="17.25" customHeight="1" x14ac:dyDescent="0.25">
      <c r="A59" s="26"/>
      <c r="B59" s="27"/>
      <c r="C59" s="35"/>
      <c r="D59" s="29"/>
      <c r="E59" s="29"/>
      <c r="F59" s="30"/>
      <c r="G59" s="31"/>
      <c r="H59" s="32"/>
      <c r="I59" s="33"/>
      <c r="J59" s="34"/>
      <c r="K59" s="34"/>
      <c r="L59" s="34"/>
      <c r="M59" s="34"/>
      <c r="N59" s="34"/>
      <c r="O59" s="34"/>
      <c r="P59" s="34"/>
      <c r="Q59" s="34"/>
      <c r="R59" s="34"/>
      <c r="S59" s="34"/>
      <c r="T59" s="34"/>
      <c r="U59" s="34"/>
      <c r="V59" s="34"/>
      <c r="W59" s="34"/>
    </row>
    <row r="60" spans="1:23" ht="17.25" customHeight="1" x14ac:dyDescent="0.25">
      <c r="A60" s="26"/>
      <c r="B60" s="27"/>
      <c r="C60" s="35"/>
      <c r="D60" s="29"/>
      <c r="E60" s="29"/>
      <c r="F60" s="30"/>
      <c r="G60" s="31"/>
      <c r="H60" s="32"/>
      <c r="I60" s="33"/>
      <c r="J60" s="34"/>
      <c r="K60" s="34"/>
      <c r="L60" s="34"/>
      <c r="M60" s="34"/>
      <c r="N60" s="34"/>
      <c r="O60" s="34"/>
      <c r="P60" s="34"/>
      <c r="Q60" s="34"/>
      <c r="R60" s="34"/>
      <c r="S60" s="34"/>
      <c r="T60" s="34"/>
      <c r="U60" s="34"/>
      <c r="V60" s="34"/>
      <c r="W60" s="34"/>
    </row>
    <row r="61" spans="1:23" ht="17.25" customHeight="1" x14ac:dyDescent="0.25">
      <c r="A61" s="26"/>
      <c r="B61" s="27"/>
      <c r="C61" s="35"/>
      <c r="D61" s="29"/>
      <c r="E61" s="29"/>
      <c r="F61" s="30"/>
      <c r="G61" s="31"/>
      <c r="H61" s="32"/>
      <c r="I61" s="33"/>
      <c r="J61" s="34"/>
      <c r="K61" s="34"/>
      <c r="L61" s="34"/>
      <c r="M61" s="34"/>
      <c r="N61" s="34"/>
      <c r="O61" s="34"/>
      <c r="P61" s="34"/>
      <c r="Q61" s="34"/>
      <c r="R61" s="34"/>
      <c r="S61" s="34"/>
      <c r="T61" s="34"/>
      <c r="U61" s="34"/>
      <c r="V61" s="34"/>
      <c r="W61" s="34"/>
    </row>
    <row r="62" spans="1:23" ht="18.75" customHeight="1" x14ac:dyDescent="0.25">
      <c r="A62" s="26"/>
      <c r="B62" s="27"/>
      <c r="C62" s="35" t="s">
        <v>67</v>
      </c>
      <c r="D62" s="29"/>
      <c r="E62" s="29"/>
      <c r="F62" s="30"/>
      <c r="G62" s="31"/>
      <c r="H62" s="32"/>
      <c r="I62" s="33"/>
      <c r="J62" s="34"/>
      <c r="K62" s="34"/>
      <c r="L62" s="34"/>
      <c r="M62" s="34"/>
      <c r="N62" s="34"/>
      <c r="O62" s="34"/>
      <c r="P62" s="34"/>
      <c r="Q62" s="34"/>
      <c r="R62" s="34"/>
      <c r="S62" s="34"/>
      <c r="T62" s="34"/>
      <c r="U62" s="34"/>
      <c r="V62" s="34"/>
      <c r="W62" s="34"/>
    </row>
    <row r="63" spans="1:23" ht="18.75" customHeight="1" x14ac:dyDescent="0.25">
      <c r="A63" s="26"/>
      <c r="B63" s="27"/>
      <c r="C63" s="35" t="s">
        <v>67</v>
      </c>
      <c r="D63" s="29"/>
      <c r="E63" s="29"/>
      <c r="F63" s="30"/>
      <c r="G63" s="31"/>
      <c r="H63" s="32"/>
      <c r="I63" s="33"/>
      <c r="J63" s="34"/>
      <c r="K63" s="34"/>
      <c r="L63" s="34"/>
      <c r="M63" s="34"/>
      <c r="N63" s="34"/>
      <c r="O63" s="34"/>
      <c r="P63" s="34"/>
      <c r="Q63" s="34"/>
      <c r="R63" s="34"/>
      <c r="S63" s="34"/>
      <c r="T63" s="34"/>
      <c r="U63" s="34"/>
      <c r="V63" s="34"/>
      <c r="W63" s="34"/>
    </row>
    <row r="64" spans="1:23" ht="18.75" customHeight="1" x14ac:dyDescent="0.25">
      <c r="A64" s="26"/>
      <c r="B64" s="27"/>
      <c r="C64" s="35"/>
      <c r="D64" s="29"/>
      <c r="E64" s="29"/>
      <c r="F64" s="30"/>
      <c r="G64" s="31"/>
      <c r="H64" s="32"/>
      <c r="I64" s="33"/>
      <c r="J64" s="34"/>
      <c r="K64" s="34"/>
      <c r="L64" s="34"/>
      <c r="M64" s="34"/>
      <c r="N64" s="34"/>
      <c r="O64" s="34"/>
      <c r="P64" s="34"/>
      <c r="Q64" s="34"/>
      <c r="R64" s="34"/>
      <c r="S64" s="34"/>
      <c r="T64" s="34"/>
      <c r="U64" s="34"/>
      <c r="V64" s="34"/>
      <c r="W64" s="34"/>
    </row>
    <row r="65" spans="1:23" ht="18.75" customHeight="1" x14ac:dyDescent="0.25">
      <c r="A65" s="26"/>
      <c r="B65" s="27"/>
      <c r="C65" s="35"/>
      <c r="D65" s="29"/>
      <c r="E65" s="29"/>
      <c r="F65" s="30"/>
      <c r="G65" s="31"/>
      <c r="H65" s="32"/>
      <c r="I65" s="33"/>
      <c r="J65" s="34"/>
      <c r="K65" s="34"/>
      <c r="L65" s="34"/>
      <c r="M65" s="34"/>
      <c r="N65" s="34"/>
      <c r="O65" s="34"/>
      <c r="P65" s="34"/>
      <c r="Q65" s="34"/>
      <c r="R65" s="34"/>
      <c r="S65" s="34"/>
      <c r="T65" s="34"/>
      <c r="U65" s="34"/>
      <c r="V65" s="34"/>
      <c r="W65" s="34"/>
    </row>
    <row r="66" spans="1:23" ht="18.75" customHeight="1" x14ac:dyDescent="0.25">
      <c r="A66" s="26"/>
      <c r="B66" s="27"/>
      <c r="C66" s="35"/>
      <c r="D66" s="29"/>
      <c r="E66" s="29"/>
      <c r="F66" s="30"/>
      <c r="G66" s="31"/>
      <c r="H66" s="32"/>
      <c r="I66" s="33"/>
      <c r="J66" s="34"/>
      <c r="K66" s="34"/>
      <c r="L66" s="34"/>
      <c r="M66" s="34"/>
      <c r="N66" s="34"/>
      <c r="O66" s="34"/>
      <c r="P66" s="34"/>
      <c r="Q66" s="34"/>
      <c r="R66" s="34"/>
      <c r="S66" s="34"/>
      <c r="T66" s="34"/>
      <c r="U66" s="34"/>
      <c r="V66" s="34"/>
      <c r="W66" s="34"/>
    </row>
    <row r="67" spans="1:23" ht="18" customHeight="1" x14ac:dyDescent="0.25">
      <c r="A67" s="26"/>
      <c r="B67" s="27"/>
      <c r="C67" s="35" t="s">
        <v>67</v>
      </c>
      <c r="D67" s="29"/>
      <c r="E67" s="29"/>
      <c r="F67" s="30"/>
      <c r="G67" s="31"/>
      <c r="H67" s="32"/>
      <c r="I67" s="33"/>
      <c r="J67" s="34"/>
      <c r="K67" s="34"/>
      <c r="L67" s="34"/>
      <c r="M67" s="34"/>
      <c r="N67" s="34"/>
      <c r="O67" s="34"/>
      <c r="P67" s="34"/>
      <c r="Q67" s="34"/>
      <c r="R67" s="34"/>
      <c r="S67" s="34"/>
      <c r="T67" s="34"/>
      <c r="U67" s="34"/>
      <c r="V67" s="34"/>
      <c r="W67" s="34"/>
    </row>
    <row r="68" spans="1:23" ht="18" customHeight="1" x14ac:dyDescent="0.25">
      <c r="A68" s="26"/>
      <c r="B68" s="27"/>
      <c r="C68" s="35"/>
      <c r="D68" s="29"/>
      <c r="E68" s="29"/>
      <c r="F68" s="30"/>
      <c r="G68" s="31"/>
      <c r="H68" s="32"/>
      <c r="I68" s="33"/>
      <c r="J68" s="34"/>
      <c r="K68" s="34"/>
      <c r="L68" s="34"/>
      <c r="M68" s="34"/>
      <c r="N68" s="34"/>
      <c r="O68" s="34"/>
      <c r="P68" s="34"/>
      <c r="Q68" s="34"/>
      <c r="R68" s="34"/>
      <c r="S68" s="34"/>
      <c r="T68" s="34"/>
      <c r="U68" s="34"/>
      <c r="V68" s="34"/>
      <c r="W68" s="34"/>
    </row>
    <row r="69" spans="1:23" ht="24" customHeight="1" x14ac:dyDescent="0.25">
      <c r="A69" s="26"/>
      <c r="B69" s="27"/>
      <c r="C69" s="35" t="s">
        <v>67</v>
      </c>
      <c r="D69" s="29"/>
      <c r="E69" s="29"/>
      <c r="F69" s="30"/>
      <c r="G69" s="31"/>
      <c r="H69" s="32"/>
      <c r="I69" s="33"/>
      <c r="J69" s="34"/>
      <c r="K69" s="34"/>
      <c r="L69" s="34"/>
      <c r="M69" s="34"/>
      <c r="N69" s="34"/>
      <c r="O69" s="34"/>
      <c r="P69" s="34"/>
      <c r="Q69" s="34"/>
      <c r="R69" s="34"/>
      <c r="S69" s="34"/>
      <c r="T69" s="34"/>
      <c r="U69" s="34"/>
      <c r="V69" s="34"/>
      <c r="W69" s="34"/>
    </row>
    <row r="70" spans="1:23" ht="24" customHeight="1" x14ac:dyDescent="0.25">
      <c r="A70" s="37"/>
      <c r="B70" s="38"/>
      <c r="C70" s="39"/>
      <c r="D70" s="40"/>
      <c r="E70" s="40"/>
      <c r="F70" s="41"/>
      <c r="G70" s="41"/>
      <c r="H70" s="40"/>
      <c r="I70" s="42"/>
      <c r="J70" s="42"/>
      <c r="K70" s="42"/>
      <c r="L70" s="42"/>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9">
    <mergeCell ref="F2:F3"/>
    <mergeCell ref="G2:G3"/>
    <mergeCell ref="H2:H3"/>
    <mergeCell ref="A4:W4"/>
    <mergeCell ref="A2:A3"/>
    <mergeCell ref="B2:B3"/>
    <mergeCell ref="C2:C3"/>
    <mergeCell ref="D2:D3"/>
    <mergeCell ref="E2:E3"/>
  </mergeCells>
  <dataValidations count="7">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L9:W9 K10:W16 I17:W22 R23:W25 J26:W69 J70:L70" xr:uid="{00000000-0002-0000-0100-000004000000}">
      <formula1>L26</formula1>
      <formula2>0</formula2>
    </dataValidation>
    <dataValidation type="decimal" allowBlank="1" showErrorMessage="1" sqref="I26:I69" xr:uid="{00000000-0002-0000-0100-000005000000}">
      <formula1>0</formula1>
      <formula2>12</formula2>
    </dataValidation>
    <dataValidation type="list" allowBlank="1" showErrorMessage="1" sqref="G24:G69" xr:uid="{00000000-0002-0000-0100-000006000000}">
      <formula1>"Build,Coding,Design,Integration Test,Regression Test,System Test,Unit Test,Others"</formula1>
      <formula2>0</formula2>
    </dataValidation>
  </dataValidations>
  <pageMargins left="0.75" right="0.75" top="1.55" bottom="1" header="0.511811023622047" footer="0.511811023622047"/>
  <pageSetup paperSize="9" scale="95"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
  <sheetViews>
    <sheetView zoomScaleNormal="100" workbookViewId="0">
      <pane ySplit="1" topLeftCell="A19" activePane="bottomLeft" state="frozen"/>
      <selection pane="bottomLeft" activeCell="D15" sqref="D15:D22"/>
    </sheetView>
  </sheetViews>
  <sheetFormatPr defaultColWidth="9.08984375" defaultRowHeight="12.5" x14ac:dyDescent="0.25"/>
  <cols>
    <col min="3" max="3" width="41.54296875" customWidth="1"/>
    <col min="4" max="4" width="27" customWidth="1"/>
    <col min="5" max="5" width="33.36328125" customWidth="1"/>
  </cols>
  <sheetData>
    <row r="1" spans="1:7" ht="49.5" customHeight="1" x14ac:dyDescent="0.3">
      <c r="A1" s="43" t="s">
        <v>68</v>
      </c>
      <c r="B1" s="43" t="s">
        <v>69</v>
      </c>
      <c r="C1" s="43" t="s">
        <v>70</v>
      </c>
      <c r="D1" s="43" t="s">
        <v>71</v>
      </c>
      <c r="E1" s="44"/>
      <c r="F1" s="44"/>
      <c r="G1" s="44"/>
    </row>
    <row r="2" spans="1:7" ht="12.75" customHeight="1" x14ac:dyDescent="0.25">
      <c r="A2" s="45">
        <v>1</v>
      </c>
      <c r="B2" s="45">
        <v>1</v>
      </c>
      <c r="C2" s="46" t="s">
        <v>72</v>
      </c>
      <c r="D2" s="46" t="s">
        <v>73</v>
      </c>
    </row>
    <row r="3" spans="1:7" ht="12.75" customHeight="1" x14ac:dyDescent="0.25">
      <c r="A3" s="45">
        <v>1</v>
      </c>
      <c r="B3" s="45">
        <v>2</v>
      </c>
      <c r="C3" s="59" t="s">
        <v>99</v>
      </c>
      <c r="D3" s="59" t="s">
        <v>100</v>
      </c>
    </row>
    <row r="4" spans="1:7" ht="12.75" customHeight="1" x14ac:dyDescent="0.25">
      <c r="A4" s="45">
        <v>1</v>
      </c>
      <c r="B4" s="45">
        <v>3</v>
      </c>
      <c r="C4" s="59" t="s">
        <v>101</v>
      </c>
      <c r="D4" s="45" t="s">
        <v>74</v>
      </c>
    </row>
    <row r="5" spans="1:7" ht="12.75" customHeight="1" x14ac:dyDescent="0.25">
      <c r="A5" s="45">
        <v>1</v>
      </c>
      <c r="B5" s="45">
        <v>4</v>
      </c>
      <c r="C5" s="45" t="s">
        <v>75</v>
      </c>
      <c r="D5" s="45" t="s">
        <v>76</v>
      </c>
    </row>
    <row r="6" spans="1:7" ht="12.75" customHeight="1" x14ac:dyDescent="0.25">
      <c r="A6" s="45">
        <v>1</v>
      </c>
      <c r="B6" s="45">
        <v>5</v>
      </c>
      <c r="C6" s="45" t="s">
        <v>72</v>
      </c>
      <c r="D6" s="45" t="s">
        <v>77</v>
      </c>
    </row>
    <row r="7" spans="1:7" ht="12.75" customHeight="1" x14ac:dyDescent="0.25">
      <c r="A7" s="45">
        <v>2</v>
      </c>
      <c r="B7" s="45">
        <v>1</v>
      </c>
      <c r="C7" s="46"/>
      <c r="D7" s="46" t="s">
        <v>155</v>
      </c>
    </row>
    <row r="8" spans="1:7" ht="12.75" customHeight="1" x14ac:dyDescent="0.25">
      <c r="A8" s="45">
        <v>2</v>
      </c>
      <c r="B8" s="45">
        <v>2</v>
      </c>
      <c r="C8" s="46" t="s">
        <v>156</v>
      </c>
      <c r="D8" s="46" t="s">
        <v>157</v>
      </c>
    </row>
    <row r="9" spans="1:7" ht="12.75" customHeight="1" x14ac:dyDescent="0.25">
      <c r="A9" s="45">
        <v>2</v>
      </c>
      <c r="B9" s="45">
        <v>3</v>
      </c>
      <c r="C9" s="46" t="s">
        <v>158</v>
      </c>
      <c r="D9" s="46" t="s">
        <v>159</v>
      </c>
    </row>
    <row r="10" spans="1:7" ht="12.75" customHeight="1" x14ac:dyDescent="0.25">
      <c r="A10" s="45">
        <v>2</v>
      </c>
      <c r="B10" s="45">
        <v>4</v>
      </c>
      <c r="C10" s="46" t="s">
        <v>160</v>
      </c>
      <c r="D10" s="46" t="s">
        <v>161</v>
      </c>
    </row>
    <row r="11" spans="1:7" ht="12.75" customHeight="1" x14ac:dyDescent="0.25">
      <c r="A11" s="45">
        <v>2</v>
      </c>
      <c r="B11" s="45">
        <v>5</v>
      </c>
      <c r="C11" s="46"/>
      <c r="D11" s="46" t="s">
        <v>162</v>
      </c>
    </row>
    <row r="12" spans="1:7" ht="12.75" customHeight="1" x14ac:dyDescent="0.25">
      <c r="A12" s="45">
        <v>2</v>
      </c>
      <c r="B12" s="45">
        <v>6</v>
      </c>
      <c r="C12" s="46" t="s">
        <v>163</v>
      </c>
      <c r="D12" s="46" t="s">
        <v>164</v>
      </c>
    </row>
    <row r="13" spans="1:7" ht="12.75" customHeight="1" x14ac:dyDescent="0.25">
      <c r="A13" s="45">
        <v>2</v>
      </c>
      <c r="B13" s="45">
        <v>7</v>
      </c>
      <c r="C13" s="46" t="s">
        <v>165</v>
      </c>
      <c r="D13" s="46" t="s">
        <v>166</v>
      </c>
    </row>
    <row r="14" spans="1:7" ht="12.75" customHeight="1" x14ac:dyDescent="0.25">
      <c r="A14" s="45">
        <v>2</v>
      </c>
      <c r="B14" s="45">
        <v>8</v>
      </c>
      <c r="C14" s="46"/>
      <c r="D14" s="46" t="s">
        <v>167</v>
      </c>
    </row>
    <row r="15" spans="1:7" ht="37.5" x14ac:dyDescent="0.25">
      <c r="A15" s="45">
        <v>3</v>
      </c>
      <c r="B15" s="45">
        <v>1</v>
      </c>
      <c r="C15" s="46"/>
      <c r="D15" s="46" t="s">
        <v>228</v>
      </c>
    </row>
    <row r="16" spans="1:7" ht="37.5" x14ac:dyDescent="0.25">
      <c r="A16" s="45">
        <v>3</v>
      </c>
      <c r="B16" s="45">
        <v>2</v>
      </c>
      <c r="C16" s="46" t="s">
        <v>223</v>
      </c>
      <c r="D16" s="46" t="s">
        <v>229</v>
      </c>
    </row>
    <row r="17" spans="1:4" ht="37.5" x14ac:dyDescent="0.25">
      <c r="A17" s="45">
        <v>3</v>
      </c>
      <c r="B17" s="45">
        <v>3</v>
      </c>
      <c r="C17" s="46" t="s">
        <v>224</v>
      </c>
      <c r="D17" s="46" t="s">
        <v>230</v>
      </c>
    </row>
    <row r="18" spans="1:4" ht="37.5" x14ac:dyDescent="0.25">
      <c r="A18" s="45">
        <v>3</v>
      </c>
      <c r="B18" s="45">
        <v>4</v>
      </c>
      <c r="C18" s="46" t="s">
        <v>225</v>
      </c>
      <c r="D18" s="46" t="s">
        <v>231</v>
      </c>
    </row>
    <row r="19" spans="1:4" ht="37.5" x14ac:dyDescent="0.25">
      <c r="A19" s="45">
        <v>3</v>
      </c>
      <c r="B19" s="45">
        <v>5</v>
      </c>
      <c r="C19" s="46" t="s">
        <v>226</v>
      </c>
      <c r="D19" s="46" t="s">
        <v>232</v>
      </c>
    </row>
    <row r="20" spans="1:4" ht="50" x14ac:dyDescent="0.25">
      <c r="A20" s="45">
        <v>3</v>
      </c>
      <c r="B20" s="45">
        <v>6</v>
      </c>
      <c r="C20" s="46"/>
      <c r="D20" s="46" t="s">
        <v>233</v>
      </c>
    </row>
    <row r="21" spans="1:4" ht="37.5" x14ac:dyDescent="0.25">
      <c r="A21" s="45">
        <v>3</v>
      </c>
      <c r="B21" s="45">
        <v>7</v>
      </c>
      <c r="C21" s="46" t="s">
        <v>227</v>
      </c>
      <c r="D21" s="46" t="s">
        <v>234</v>
      </c>
    </row>
    <row r="22" spans="1:4" ht="37.5" x14ac:dyDescent="0.25">
      <c r="A22" s="45">
        <v>3</v>
      </c>
      <c r="B22" s="45">
        <v>8</v>
      </c>
      <c r="C22" s="46"/>
      <c r="D22" s="46" t="s">
        <v>235</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
  <sheetViews>
    <sheetView showGridLines="0" tabSelected="1" topLeftCell="E1" zoomScaleNormal="100" workbookViewId="0">
      <selection activeCell="M16" sqref="M16"/>
    </sheetView>
  </sheetViews>
  <sheetFormatPr defaultColWidth="9.08984375" defaultRowHeight="12.5" x14ac:dyDescent="0.25"/>
  <cols>
    <col min="1" max="1" width="6.81640625" style="47" customWidth="1"/>
    <col min="2" max="4" width="12.26953125" style="48" customWidth="1"/>
    <col min="5" max="5" width="20.26953125" style="47" customWidth="1"/>
    <col min="6" max="6" width="12.26953125" style="48" customWidth="1"/>
    <col min="7" max="7" width="27.26953125" style="49" customWidth="1"/>
    <col min="8" max="8" width="16.453125" style="47" customWidth="1"/>
    <col min="9" max="9" width="18.08984375" style="47" customWidth="1"/>
    <col min="10" max="257" width="9.08984375" style="47"/>
  </cols>
  <sheetData>
    <row r="1" spans="1:10" s="51" customFormat="1" ht="45.75" customHeight="1" x14ac:dyDescent="0.25">
      <c r="A1" s="50" t="s">
        <v>78</v>
      </c>
      <c r="B1" s="50" t="s">
        <v>79</v>
      </c>
      <c r="C1" s="50" t="s">
        <v>80</v>
      </c>
      <c r="D1" s="50" t="s">
        <v>81</v>
      </c>
      <c r="E1" s="50" t="s">
        <v>82</v>
      </c>
      <c r="F1" s="50" t="s">
        <v>83</v>
      </c>
      <c r="G1" s="50" t="s">
        <v>84</v>
      </c>
      <c r="H1" s="50" t="s">
        <v>85</v>
      </c>
      <c r="I1" s="50" t="s">
        <v>86</v>
      </c>
    </row>
    <row r="2" spans="1:10" s="47" customFormat="1" ht="12.75" customHeight="1" x14ac:dyDescent="0.25">
      <c r="A2" s="52">
        <v>1</v>
      </c>
      <c r="B2" s="52">
        <v>1</v>
      </c>
      <c r="C2" s="52" t="s">
        <v>49</v>
      </c>
      <c r="D2" s="52" t="s">
        <v>66</v>
      </c>
      <c r="E2" s="53" t="s">
        <v>89</v>
      </c>
      <c r="F2" s="52" t="s">
        <v>104</v>
      </c>
      <c r="G2" s="54" t="s">
        <v>105</v>
      </c>
      <c r="H2" s="57" t="s">
        <v>102</v>
      </c>
      <c r="I2" s="53" t="s">
        <v>103</v>
      </c>
    </row>
    <row r="3" spans="1:10" s="47" customFormat="1" ht="12.75" customHeight="1" x14ac:dyDescent="0.25">
      <c r="A3" s="52">
        <v>2</v>
      </c>
      <c r="B3" s="52">
        <v>2</v>
      </c>
      <c r="C3" s="52" t="s">
        <v>109</v>
      </c>
      <c r="D3" s="52" t="s">
        <v>151</v>
      </c>
      <c r="E3" s="53" t="s">
        <v>89</v>
      </c>
      <c r="F3" s="52" t="s">
        <v>168</v>
      </c>
      <c r="G3" s="54" t="s">
        <v>169</v>
      </c>
      <c r="H3" s="47" t="s">
        <v>170</v>
      </c>
      <c r="I3" s="53" t="s">
        <v>171</v>
      </c>
    </row>
    <row r="4" spans="1:10" s="47" customFormat="1" ht="12.75" customHeight="1" x14ac:dyDescent="0.25">
      <c r="A4" s="52">
        <v>3</v>
      </c>
      <c r="B4" s="52">
        <v>3</v>
      </c>
      <c r="C4" s="52" t="s">
        <v>214</v>
      </c>
      <c r="D4" s="60">
        <v>46265</v>
      </c>
      <c r="E4" s="53" t="s">
        <v>89</v>
      </c>
      <c r="F4" s="53"/>
      <c r="G4" s="52" t="s">
        <v>236</v>
      </c>
      <c r="H4" s="54" t="s">
        <v>237</v>
      </c>
      <c r="I4" s="57" t="s">
        <v>238</v>
      </c>
      <c r="J4" s="53"/>
    </row>
    <row r="5" spans="1:10" s="47" customFormat="1" ht="12.75" customHeight="1" x14ac:dyDescent="0.25">
      <c r="A5" s="52">
        <v>4</v>
      </c>
      <c r="B5" s="52"/>
      <c r="C5" s="52"/>
      <c r="D5" s="52"/>
      <c r="E5" s="53"/>
      <c r="F5" s="52"/>
      <c r="G5" s="56"/>
      <c r="H5" s="53"/>
      <c r="I5" s="53"/>
    </row>
    <row r="6" spans="1:10" s="47" customFormat="1" ht="12.75" customHeight="1" x14ac:dyDescent="0.25">
      <c r="A6" s="52">
        <v>5</v>
      </c>
      <c r="B6" s="52"/>
      <c r="C6" s="52"/>
      <c r="D6" s="52"/>
      <c r="E6" s="53"/>
      <c r="F6" s="52"/>
      <c r="G6" s="54"/>
      <c r="H6" s="53"/>
      <c r="I6" s="53"/>
    </row>
    <row r="7" spans="1:10" s="47" customFormat="1" ht="12.75" customHeight="1" x14ac:dyDescent="0.25">
      <c r="A7" s="52">
        <v>6</v>
      </c>
      <c r="B7" s="52"/>
      <c r="C7" s="52"/>
      <c r="D7" s="52"/>
      <c r="E7" s="53"/>
      <c r="F7" s="52"/>
      <c r="G7" s="55"/>
      <c r="H7" s="53"/>
      <c r="I7" s="53"/>
    </row>
    <row r="8" spans="1:10" s="47" customFormat="1" ht="12.75" customHeight="1" x14ac:dyDescent="0.25">
      <c r="A8" s="52">
        <v>7</v>
      </c>
      <c r="B8" s="52"/>
      <c r="C8" s="52"/>
      <c r="D8" s="52"/>
      <c r="E8" s="53"/>
      <c r="F8" s="52"/>
      <c r="G8" s="54"/>
      <c r="H8" s="53"/>
      <c r="I8" s="53"/>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subject/>
  <dc:creator>Sumeet_Kumar08@infosys.com</dc:creator>
  <cp:keywords>Agile Scrum</cp:keywords>
  <dc:description>Sprint Backlog</dc:description>
  <cp:lastModifiedBy>BHANU PRAKASH</cp:lastModifiedBy>
  <cp:revision>0</cp:revision>
  <dcterms:created xsi:type="dcterms:W3CDTF">1996-10-14T23:33:28Z</dcterms:created>
  <dcterms:modified xsi:type="dcterms:W3CDTF">2026-08-02T08:21:56Z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